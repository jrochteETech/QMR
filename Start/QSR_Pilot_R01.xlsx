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ocht\Downloads\"/>
    </mc:Choice>
  </mc:AlternateContent>
  <xr:revisionPtr revIDLastSave="0" documentId="13_ncr:1_{DD133E1E-CD31-4E84-AC88-FD6A0C1AE0DF}" xr6:coauthVersionLast="47" xr6:coauthVersionMax="47" xr10:uidLastSave="{00000000-0000-0000-0000-000000000000}"/>
  <bookViews>
    <workbookView xWindow="-42684" yWindow="3744" windowWidth="41364" windowHeight="18588" firstSheet="1" activeTab="2" xr2:uid="{00000000-000D-0000-FFFF-FFFF00000000}"/>
  </bookViews>
  <sheets>
    <sheet name="Revisions" sheetId="10" state="hidden" r:id="rId1"/>
    <sheet name="Rev Log" sheetId="12" r:id="rId2"/>
    <sheet name="Overview" sheetId="9" r:id="rId3"/>
    <sheet name="Instructions" sheetId="1" r:id="rId4"/>
    <sheet name="Review Register" sheetId="2" r:id="rId5"/>
    <sheet name="Review Entry-Complete" sheetId="11" state="hidden" r:id="rId6"/>
    <sheet name="Review Entry" sheetId="3" r:id="rId7"/>
    <sheet name="Scoring Guide" sheetId="4" r:id="rId8"/>
    <sheet name="Source Matrix" sheetId="5" r:id="rId9"/>
    <sheet name="Actions" sheetId="6" r:id="rId10"/>
    <sheet name="KPI Summary" sheetId="7" r:id="rId11"/>
    <sheet name="Lists" sheetId="8"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 l="1"/>
  <c r="J3" i="2"/>
  <c r="J4" i="2"/>
  <c r="J5" i="2"/>
  <c r="J6" i="2"/>
  <c r="C13" i="7" l="1" a="1"/>
  <c r="C13" i="7" s="1"/>
  <c r="G11" i="7" a="1"/>
  <c r="G11" i="7" s="1"/>
  <c r="G12" i="7" a="1"/>
  <c r="G12" i="7" s="1"/>
  <c r="G13" i="7" a="1"/>
  <c r="G13" i="7" s="1"/>
  <c r="G14" i="7" a="1"/>
  <c r="G14" i="7" s="1"/>
  <c r="G15" i="7" a="1"/>
  <c r="G15" i="7" s="1"/>
  <c r="G16" i="7" a="1"/>
  <c r="G16" i="7" s="1"/>
  <c r="G10" i="7" a="1"/>
  <c r="G10" i="7" s="1"/>
  <c r="F11" i="7" a="1"/>
  <c r="F11" i="7" s="1"/>
  <c r="F12" i="7" a="1"/>
  <c r="F12" i="7" s="1"/>
  <c r="F13" i="7" a="1"/>
  <c r="F13" i="7" s="1"/>
  <c r="F14" i="7" a="1"/>
  <c r="F14" i="7" s="1"/>
  <c r="F15" i="7" a="1"/>
  <c r="F15" i="7" s="1"/>
  <c r="F16" i="7" a="1"/>
  <c r="F16" i="7" s="1"/>
  <c r="F10" i="7" a="1"/>
  <c r="F10" i="7" s="1"/>
  <c r="C5" i="7" a="1"/>
  <c r="C5" i="7" s="1"/>
  <c r="C4" i="7" a="1"/>
  <c r="C4" i="7" s="1"/>
  <c r="C2" i="7" a="1"/>
  <c r="C2" i="7" s="1"/>
  <c r="C3" i="7" a="1"/>
  <c r="C3" i="7" s="1"/>
  <c r="F3" i="7" a="1"/>
  <c r="F3" i="7" s="1"/>
  <c r="F4" i="7" a="1"/>
  <c r="F4" i="7" s="1"/>
  <c r="F5" i="7" a="1"/>
  <c r="F5" i="7" s="1"/>
  <c r="F6" i="7" a="1"/>
  <c r="F6" i="7" s="1"/>
  <c r="F7" i="7" a="1"/>
  <c r="F7" i="7" s="1"/>
  <c r="F2" i="7" a="1"/>
  <c r="F2" i="7" s="1"/>
  <c r="C7" i="7"/>
  <c r="C6" i="7"/>
  <c r="O3" i="3"/>
  <c r="P3" i="3"/>
  <c r="O4" i="3"/>
  <c r="P4" i="3"/>
  <c r="O6" i="3"/>
  <c r="P6" i="3"/>
  <c r="O7" i="3"/>
  <c r="P7" i="3"/>
  <c r="O9" i="3"/>
  <c r="P9" i="3"/>
  <c r="O10" i="3"/>
  <c r="P10" i="3"/>
  <c r="O12" i="3"/>
  <c r="P12" i="3"/>
  <c r="O13" i="3"/>
  <c r="P13" i="3"/>
  <c r="O15" i="3"/>
  <c r="P15" i="3"/>
  <c r="O16" i="3"/>
  <c r="P16" i="3"/>
  <c r="O18" i="3"/>
  <c r="P18" i="3"/>
  <c r="O19" i="3"/>
  <c r="P19" i="3"/>
  <c r="O21" i="3"/>
  <c r="P21" i="3"/>
  <c r="O22" i="3"/>
  <c r="P22" i="3"/>
  <c r="O24" i="3"/>
  <c r="P24" i="3"/>
  <c r="O25" i="3"/>
  <c r="P25" i="3"/>
  <c r="O27" i="3"/>
  <c r="P27" i="3"/>
  <c r="O28" i="3"/>
  <c r="P28" i="3"/>
  <c r="O30" i="3"/>
  <c r="P30" i="3"/>
  <c r="O31" i="3"/>
  <c r="P31" i="3"/>
  <c r="O33" i="3"/>
  <c r="P33" i="3"/>
  <c r="O34" i="3"/>
  <c r="P34" i="3"/>
  <c r="O36" i="3"/>
  <c r="P36" i="3"/>
  <c r="O37" i="3"/>
  <c r="P37" i="3"/>
  <c r="O39" i="3"/>
  <c r="P39" i="3"/>
  <c r="O40" i="3"/>
  <c r="P40" i="3"/>
  <c r="O42" i="3"/>
  <c r="P42" i="3"/>
  <c r="O43" i="3"/>
  <c r="P43" i="3"/>
  <c r="O45" i="3"/>
  <c r="P45" i="3"/>
  <c r="O46" i="3"/>
  <c r="P46" i="3"/>
  <c r="O48" i="3"/>
  <c r="P48" i="3"/>
  <c r="O49" i="3"/>
  <c r="P49" i="3"/>
  <c r="O51" i="3"/>
  <c r="P51" i="3"/>
  <c r="O52" i="3"/>
  <c r="P52" i="3"/>
  <c r="O54" i="3"/>
  <c r="P54" i="3"/>
  <c r="O55" i="3"/>
  <c r="P55" i="3"/>
  <c r="O57" i="3"/>
  <c r="P57" i="3"/>
  <c r="O58" i="3"/>
  <c r="P58" i="3"/>
  <c r="O60" i="3"/>
  <c r="P60" i="3"/>
  <c r="O61" i="3"/>
  <c r="P61" i="3"/>
  <c r="O63" i="3"/>
  <c r="P63" i="3"/>
  <c r="O64" i="3"/>
  <c r="P64" i="3"/>
  <c r="O66" i="3"/>
  <c r="P66" i="3"/>
  <c r="O67" i="3"/>
  <c r="P67" i="3"/>
  <c r="O69" i="3"/>
  <c r="P69" i="3"/>
  <c r="O70" i="3"/>
  <c r="P70" i="3"/>
  <c r="O72" i="3"/>
  <c r="P72" i="3"/>
  <c r="O73" i="3"/>
  <c r="P73" i="3"/>
  <c r="O75" i="3"/>
  <c r="P75" i="3"/>
  <c r="O76" i="3"/>
  <c r="P76" i="3"/>
  <c r="O78" i="3"/>
  <c r="P78" i="3"/>
  <c r="O79" i="3"/>
  <c r="P79" i="3"/>
  <c r="O81" i="3"/>
  <c r="P81" i="3"/>
  <c r="O82" i="3"/>
  <c r="P82" i="3"/>
  <c r="O84" i="3"/>
  <c r="P84" i="3"/>
  <c r="O85" i="3"/>
  <c r="P85" i="3"/>
  <c r="O87" i="3"/>
  <c r="P87" i="3"/>
  <c r="O88" i="3"/>
  <c r="P88" i="3"/>
  <c r="O90" i="3"/>
  <c r="P90" i="3"/>
  <c r="O91" i="3"/>
  <c r="P91" i="3"/>
  <c r="O93" i="3"/>
  <c r="P93" i="3"/>
  <c r="O94" i="3"/>
  <c r="P94" i="3"/>
  <c r="O96" i="3"/>
  <c r="P96" i="3"/>
  <c r="O97" i="3"/>
  <c r="P97" i="3"/>
  <c r="O99" i="3"/>
  <c r="P99" i="3"/>
  <c r="O100" i="3"/>
  <c r="P100" i="3"/>
  <c r="O102" i="3"/>
  <c r="P102" i="3"/>
  <c r="O103" i="3"/>
  <c r="P103" i="3"/>
  <c r="O105" i="3"/>
  <c r="P105" i="3"/>
  <c r="O106" i="3"/>
  <c r="P106" i="3"/>
  <c r="R106" i="11"/>
  <c r="Q106" i="11"/>
  <c r="R105" i="11"/>
  <c r="Q105" i="11"/>
  <c r="R104" i="11"/>
  <c r="Q104" i="11"/>
  <c r="R103" i="11"/>
  <c r="Q103" i="11"/>
  <c r="R102" i="11"/>
  <c r="Q102" i="11"/>
  <c r="R101" i="11"/>
  <c r="Q101" i="11"/>
  <c r="R100" i="11"/>
  <c r="Q100" i="11"/>
  <c r="R99" i="11"/>
  <c r="Q99" i="11"/>
  <c r="R98" i="11"/>
  <c r="Q98" i="11"/>
  <c r="R97" i="11"/>
  <c r="Q97" i="11"/>
  <c r="R96" i="11"/>
  <c r="Q96" i="11"/>
  <c r="R95" i="11"/>
  <c r="Q95" i="11"/>
  <c r="R94" i="11"/>
  <c r="Q94" i="11"/>
  <c r="R93" i="11"/>
  <c r="Q93" i="11"/>
  <c r="R92" i="11"/>
  <c r="Q92" i="11"/>
  <c r="R91" i="11"/>
  <c r="Q91" i="11"/>
  <c r="R90" i="11"/>
  <c r="Q90" i="11"/>
  <c r="R89" i="11"/>
  <c r="Q89" i="11"/>
  <c r="R88" i="11"/>
  <c r="Q88" i="11"/>
  <c r="R87" i="11"/>
  <c r="Q87" i="11"/>
  <c r="R86" i="11"/>
  <c r="Q86" i="11"/>
  <c r="R85" i="11"/>
  <c r="Q85" i="11"/>
  <c r="R84" i="11"/>
  <c r="Q84" i="11"/>
  <c r="R83" i="11"/>
  <c r="Q83" i="11"/>
  <c r="R82" i="11"/>
  <c r="Q82" i="11"/>
  <c r="R81" i="11"/>
  <c r="Q81" i="11"/>
  <c r="R80" i="11"/>
  <c r="Q80" i="11"/>
  <c r="R79" i="11"/>
  <c r="Q79" i="11"/>
  <c r="R78" i="11"/>
  <c r="Q78" i="11"/>
  <c r="R77" i="11"/>
  <c r="Q77" i="11"/>
  <c r="R76" i="11"/>
  <c r="Q76" i="11"/>
  <c r="R75" i="11"/>
  <c r="Q75" i="11"/>
  <c r="R74" i="11"/>
  <c r="Q74" i="11"/>
  <c r="R73" i="11"/>
  <c r="Q73" i="11"/>
  <c r="R72" i="11"/>
  <c r="Q72" i="11"/>
  <c r="R71" i="11"/>
  <c r="Q71" i="11"/>
  <c r="R70" i="11"/>
  <c r="Q70" i="11"/>
  <c r="R69" i="11"/>
  <c r="Q69" i="11"/>
  <c r="R68" i="11"/>
  <c r="Q68" i="11"/>
  <c r="R67" i="11"/>
  <c r="Q67" i="11"/>
  <c r="R66" i="11"/>
  <c r="Q66" i="11"/>
  <c r="R65" i="11"/>
  <c r="Q65" i="11"/>
  <c r="R64" i="11"/>
  <c r="Q64" i="11"/>
  <c r="R63" i="11"/>
  <c r="Q63" i="11"/>
  <c r="R62" i="11"/>
  <c r="Q62" i="11"/>
  <c r="R61" i="11"/>
  <c r="Q61" i="11"/>
  <c r="R60" i="11"/>
  <c r="Q60" i="11"/>
  <c r="R59" i="11"/>
  <c r="Q59" i="11"/>
  <c r="R58" i="11"/>
  <c r="Q58" i="11"/>
  <c r="R57" i="11"/>
  <c r="Q57" i="11"/>
  <c r="R56" i="11"/>
  <c r="Q56" i="11"/>
  <c r="R55" i="11"/>
  <c r="Q55" i="11"/>
  <c r="R54" i="11"/>
  <c r="Q54" i="11"/>
  <c r="R53" i="11"/>
  <c r="Q53" i="11"/>
  <c r="R52" i="11"/>
  <c r="Q52" i="11"/>
  <c r="R51" i="11"/>
  <c r="Q51" i="11"/>
  <c r="R50" i="11"/>
  <c r="Q50" i="11"/>
  <c r="R49" i="11"/>
  <c r="Q49" i="11"/>
  <c r="R48" i="11"/>
  <c r="Q48" i="11"/>
  <c r="R47" i="11"/>
  <c r="Q47" i="11"/>
  <c r="R46" i="11"/>
  <c r="Q46" i="11"/>
  <c r="R45" i="11"/>
  <c r="Q45" i="11"/>
  <c r="R44" i="11"/>
  <c r="Q44" i="11"/>
  <c r="R43" i="11"/>
  <c r="Q43" i="11"/>
  <c r="R42" i="11"/>
  <c r="Q42" i="11"/>
  <c r="R41" i="11"/>
  <c r="Q41" i="11"/>
  <c r="R40" i="11"/>
  <c r="Q40" i="11"/>
  <c r="R39" i="11"/>
  <c r="Q39" i="11"/>
  <c r="R38" i="11"/>
  <c r="Q38" i="11"/>
  <c r="R37" i="11"/>
  <c r="Q37" i="11"/>
  <c r="R36" i="11"/>
  <c r="Q36" i="11"/>
  <c r="R35" i="11"/>
  <c r="Q35" i="11"/>
  <c r="R34" i="11"/>
  <c r="Q34" i="11"/>
  <c r="R33" i="11"/>
  <c r="Q33" i="11"/>
  <c r="R32" i="11"/>
  <c r="Q32" i="11"/>
  <c r="R31" i="11"/>
  <c r="Q31" i="11"/>
  <c r="R30" i="11"/>
  <c r="Q30" i="11"/>
  <c r="R29" i="11"/>
  <c r="Q29" i="11"/>
  <c r="R28" i="11"/>
  <c r="Q28" i="11"/>
  <c r="R27" i="11"/>
  <c r="Q27" i="11"/>
  <c r="R26" i="11"/>
  <c r="Q26" i="11"/>
  <c r="R25" i="11"/>
  <c r="Q25" i="11"/>
  <c r="R24" i="11"/>
  <c r="Q24" i="11"/>
  <c r="R23" i="11"/>
  <c r="Q23" i="11"/>
  <c r="R22" i="11"/>
  <c r="Q22" i="11"/>
  <c r="R21" i="11"/>
  <c r="Q21" i="11"/>
  <c r="R20" i="11"/>
  <c r="Q20" i="11"/>
  <c r="R19" i="11"/>
  <c r="Q19" i="11"/>
  <c r="R18" i="11"/>
  <c r="Q18" i="11"/>
  <c r="R17" i="11"/>
  <c r="Q17" i="11"/>
  <c r="R16" i="11"/>
  <c r="Q16" i="11"/>
  <c r="R15" i="11"/>
  <c r="Q15" i="11"/>
  <c r="R14" i="11"/>
  <c r="Q14" i="11"/>
  <c r="R13" i="11"/>
  <c r="Q13" i="11"/>
  <c r="R12" i="11"/>
  <c r="Q12" i="11"/>
  <c r="R11" i="11"/>
  <c r="Q11" i="11"/>
  <c r="R10" i="11"/>
  <c r="Q10" i="11"/>
  <c r="R9" i="11"/>
  <c r="Q9" i="11"/>
  <c r="R8" i="11"/>
  <c r="Q8" i="11"/>
  <c r="R7" i="11"/>
  <c r="Q7" i="11"/>
  <c r="R6" i="11"/>
  <c r="Q6" i="11"/>
  <c r="R5" i="11"/>
  <c r="Q5" i="11"/>
  <c r="R4" i="11"/>
  <c r="Q4" i="11"/>
  <c r="R3" i="11"/>
  <c r="Q3" i="11"/>
  <c r="R2" i="11"/>
  <c r="Q2" i="11"/>
  <c r="C12" i="7"/>
  <c r="C11" i="7"/>
  <c r="C10" i="7"/>
  <c r="P104" i="3"/>
  <c r="O104" i="3"/>
  <c r="P101" i="3"/>
  <c r="O101" i="3"/>
  <c r="P98" i="3"/>
  <c r="O98" i="3"/>
  <c r="P95" i="3"/>
  <c r="O95" i="3"/>
  <c r="P92" i="3"/>
  <c r="O92" i="3"/>
  <c r="P89" i="3"/>
  <c r="O89" i="3"/>
  <c r="P86" i="3"/>
  <c r="O86" i="3"/>
  <c r="P83" i="3"/>
  <c r="O83" i="3"/>
  <c r="P80" i="3"/>
  <c r="O80" i="3"/>
  <c r="P77" i="3"/>
  <c r="O77" i="3"/>
  <c r="P74" i="3"/>
  <c r="O74" i="3"/>
  <c r="P71" i="3"/>
  <c r="O71" i="3"/>
  <c r="P68" i="3"/>
  <c r="O68" i="3"/>
  <c r="P65" i="3"/>
  <c r="O65" i="3"/>
  <c r="P62" i="3"/>
  <c r="O62" i="3"/>
  <c r="P59" i="3"/>
  <c r="O59" i="3"/>
  <c r="P56" i="3"/>
  <c r="O56" i="3"/>
  <c r="P53" i="3"/>
  <c r="O53" i="3"/>
  <c r="P50" i="3"/>
  <c r="O50" i="3"/>
  <c r="P47" i="3"/>
  <c r="O47" i="3"/>
  <c r="P44" i="3"/>
  <c r="O44" i="3"/>
  <c r="P41" i="3"/>
  <c r="O41" i="3"/>
  <c r="P38" i="3"/>
  <c r="O38" i="3"/>
  <c r="P35" i="3"/>
  <c r="O35" i="3"/>
  <c r="P32" i="3"/>
  <c r="O32" i="3"/>
  <c r="P29" i="3"/>
  <c r="O29" i="3"/>
  <c r="P26" i="3"/>
  <c r="O26" i="3"/>
  <c r="P23" i="3"/>
  <c r="O23" i="3"/>
  <c r="P20" i="3"/>
  <c r="O20" i="3"/>
  <c r="P17" i="3"/>
  <c r="O17" i="3"/>
  <c r="P14" i="3"/>
  <c r="O14" i="3"/>
  <c r="P11" i="3"/>
  <c r="O11" i="3"/>
  <c r="P8" i="3"/>
  <c r="O8" i="3"/>
  <c r="P5" i="3"/>
  <c r="O5" i="3"/>
  <c r="P2" i="3"/>
  <c r="O2" i="3"/>
  <c r="G5" i="7" l="1"/>
  <c r="G6" i="7"/>
  <c r="G7" i="7"/>
  <c r="G3" i="7"/>
  <c r="G4" i="7"/>
  <c r="G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Gary Powell</author>
  </authors>
  <commentList>
    <comment ref="G9" authorId="0" shapeId="0" xr:uid="{94E69CEB-A1F5-454D-B4BC-D3DC6A23635D}">
      <text>
        <r>
          <rPr>
            <b/>
            <sz val="9"/>
            <color indexed="81"/>
            <rFont val="Tahoma"/>
            <family val="2"/>
          </rPr>
          <t>Additional Guidance</t>
        </r>
        <r>
          <rPr>
            <sz val="9"/>
            <color indexed="81"/>
            <rFont val="Tahoma"/>
            <family val="2"/>
          </rPr>
          <t xml:space="preserve">
PM Plan Checklist - Applicable planning activities are addressed; status and required notes are entered; N/A items include the required explanation.
Communication Plan - Project-specific communication needs are identified sufficiently to understand who needs information, what information is needed, and the intended communication approach.
Stakeholder Registry - Applicable project stakeholders are identified with enough project-specific information to support stakeholder planning and management.
Deliverables Log - Applicable project deliverables are identified with enough information to understand what is to be delivered and to support management of those deliverables.
Change Log - The worksheet is established for the project and contains project-specific entries where changes have occurred. An empty log is not inherently deficient when no changes have occurred.
Risk Registry - The worksheet is established and contains project-specific entries where risks have been identified. Detailed adequacy of risk identification, assessment, and ongoing management is evaluated under the dedicated Risk questions.</t>
        </r>
      </text>
    </comment>
    <comment ref="G10" authorId="0" shapeId="0" xr:uid="{7C296447-A3B0-4BB0-BE82-8EA1630452C7}">
      <text>
        <r>
          <rPr>
            <b/>
            <sz val="9"/>
            <color indexed="81"/>
            <rFont val="Tahoma"/>
            <family val="2"/>
          </rPr>
          <t xml:space="preserve">Additional Guidance
</t>
        </r>
        <r>
          <rPr>
            <sz val="9"/>
            <color indexed="81"/>
            <rFont val="Tahoma"/>
            <family val="2"/>
          </rPr>
          <t>Roles &amp; Responsibilities - Applicable project roles and responsibilities were clearly assigned and remained aligned with who was actually performing/owning the work.
Deliverables Applicable - deliverables, ownership, status, and material commitments were established and updated as execution progressed.
Stakeholders - Material project stakeholders and relevant engagement needs were identified and adjusted when stakeholder conditions changed.
Communications - Communication arrangements appropriate to the project were established and remained aligned with the actual participants and project needs.
Resources - Required resources were identified and resource planning was adjusted when material execution needs changed.
Schedule Commitments - Applicable activities, milestones, dependencies, and commitments were established and the schedule reflected material changes affecting execution.</t>
        </r>
      </text>
    </comment>
    <comment ref="G11" authorId="0" shapeId="0" xr:uid="{DBDDFE61-F7DD-40A6-96DC-2192626E8CAB}">
      <text>
        <r>
          <rPr>
            <b/>
            <sz val="9"/>
            <color indexed="81"/>
            <rFont val="Tahoma"/>
            <family val="2"/>
          </rPr>
          <t xml:space="preserve">Additional Guidance
</t>
        </r>
        <r>
          <rPr>
            <sz val="9"/>
            <color indexed="81"/>
            <rFont val="Tahoma"/>
            <family val="2"/>
          </rPr>
          <t>Estimating / Proposal Development - Were material risks relevant to the proposed scope, cost, schedule, technical approach, client, or execution conditions identified and assessed?
Sales Handover - Were applicable risks and opportunities identified during Sales actually communicated to the project team?
Project Planning - Were additional material risks arising from planning or execution preparation identified and assessed?
Initial Risk Registry - Does the initial project risk record reasonably reflect the material risks identified through estimating, handoff, and planning?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Gary Powell</author>
  </authors>
  <commentList>
    <comment ref="F1" authorId="0" shapeId="0" xr:uid="{990ACFFE-92CB-4ACE-93C4-C78B9CB7C99C}">
      <text>
        <r>
          <rPr>
            <sz val="9"/>
            <color indexed="81"/>
            <rFont val="Tahoma"/>
            <family val="2"/>
          </rPr>
          <t>A row contributes to the frequency count only when all three are true:
Review Type = Initial Review
Result = 1 or 2
Primary Root Cause matches the root-cause category being counted
This prevents Follow-Up Reviews from double-counting prior findings and prevents a root-cause entry associated with a Result 3, N/A, or UTD from affecting the baseline root-cause statistics. (high)
Root Cause Distribution then uses those filtered frequency counts as its basis, so it shows the percentage of Initial Review gaps attributable to each Primary Root Cause.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<sst xmlns="http://schemas.openxmlformats.org/spreadsheetml/2006/main" count="2176" uniqueCount="623">
  <si>
    <t>Review Register</t>
  </si>
  <si>
    <t>Review Entry</t>
  </si>
  <si>
    <t>Scoring Guide</t>
  </si>
  <si>
    <t>Source Matrix</t>
  </si>
  <si>
    <t>Review ID</t>
  </si>
  <si>
    <t>Project ID</t>
  </si>
  <si>
    <t>Project Description</t>
  </si>
  <si>
    <t>Project Manager</t>
  </si>
  <si>
    <t>Business Unit</t>
  </si>
  <si>
    <t>Project Status</t>
  </si>
  <si>
    <t>Review Sequence</t>
  </si>
  <si>
    <t>Review Type</t>
  </si>
  <si>
    <t>Reviewer</t>
  </si>
  <si>
    <t>Review Status</t>
  </si>
  <si>
    <t>Review Start Date</t>
  </si>
  <si>
    <t>Review Completion Date</t>
  </si>
  <si>
    <t>Review Time (Hours)</t>
  </si>
  <si>
    <t>Notes</t>
  </si>
  <si>
    <t>Project ID 01-R01</t>
  </si>
  <si>
    <t>Project ID 01</t>
  </si>
  <si>
    <t>Initial Review</t>
  </si>
  <si>
    <t>Not Started</t>
  </si>
  <si>
    <t>Project ID 02-R01</t>
  </si>
  <si>
    <t>Project ID 02</t>
  </si>
  <si>
    <t>Project ID 03-R01</t>
  </si>
  <si>
    <t>Project ID 03</t>
  </si>
  <si>
    <t>Project ID 04-R01</t>
  </si>
  <si>
    <t>Project ID 04</t>
  </si>
  <si>
    <t>Project ID 05-R01</t>
  </si>
  <si>
    <t>Project ID 05</t>
  </si>
  <si>
    <t>Review Area</t>
  </si>
  <si>
    <t>Question ID</t>
  </si>
  <si>
    <t>Controlled Question Text</t>
  </si>
  <si>
    <t>Primary Intent</t>
  </si>
  <si>
    <t>Result</t>
  </si>
  <si>
    <t>Evidence Status</t>
  </si>
  <si>
    <t>Evidence Reviewed / Location</t>
  </si>
  <si>
    <t>PM Clarification Used?</t>
  </si>
  <si>
    <t>PM Clarification Summary</t>
  </si>
  <si>
    <t>Reviewer Observation</t>
  </si>
  <si>
    <t>Primary Root Cause</t>
  </si>
  <si>
    <t>Root-Cause Explanation</t>
  </si>
  <si>
    <t>Quality-System-Related?</t>
  </si>
  <si>
    <t>Follow-Up Required?</t>
  </si>
  <si>
    <t>Project Record Accessibility / Organization</t>
  </si>
  <si>
    <t>1.1</t>
  </si>
  <si>
    <t>Are project records maintained in the Project Vault or another location permitted by the Project Vault SOP?</t>
  </si>
  <si>
    <t>Verify that material project records are stored in approved repositories with required traceability.</t>
  </si>
  <si>
    <t>Scores approved storage location and repository traceability; do not also score general findability or overall record quality unless a separate failure exists.</t>
  </si>
  <si>
    <t>1.2</t>
  </si>
  <si>
    <t>Are the project’s primary source records readily locatable so the reviewer can understand what was sold, how the project was established for execution, and where supporting QSR evidence is maintained?</t>
  </si>
  <si>
    <t>Verify that primary source records can be readily located and used to establish the project basis and supporting evidence.</t>
  </si>
  <si>
    <t>Scores findability and navigation; do not score the substantive quality of each underlying process record here.</t>
  </si>
  <si>
    <t>1.3</t>
  </si>
  <si>
    <t>Are project records organized, current, controlled, and sufficiently complete to support project execution, traceability, and reliable review?</t>
  </si>
  <si>
    <t>Verify the overall integrity, currency, control, and completeness of the project record for the lifecycle stage.</t>
  </si>
  <si>
    <t>Scores overall record integrity; do not duplicate isolated process-artifact failures unless they materially impair the overall project record.</t>
  </si>
  <si>
    <t>Sales Handoff / Kickoff</t>
  </si>
  <si>
    <t>2.1</t>
  </si>
  <si>
    <t>Was Sales Handoff documented and effective in transferring the commercial, scope, schedule, budget, risk, client, and project-background information required by the PM and project team?</t>
  </si>
  <si>
    <t>Verify effective transfer of the information needed to move the project from sales/estimating into execution.</t>
  </si>
  <si>
    <t>Scores Sales Handoff; do not duplicate Internal Kickoff, Client Kickoff, or later project-planning controls unless separately deficient.</t>
  </si>
  <si>
    <t>2.2</t>
  </si>
  <si>
    <t>Was the Internal Kickoff documented and effective in aligning the project team on scope, schedule, budget, responsibilities, quality expectations, risks, and the execution approach?</t>
  </si>
  <si>
    <t>Verify internal project-team alignment before or at the start of execution.</t>
  </si>
  <si>
    <t>Scores Internal Kickoff alignment; do not duplicate the Sales Handoff transfer or Client Kickoff alignment unless separately deficient.</t>
  </si>
  <si>
    <t>2.3</t>
  </si>
  <si>
    <t>Was the Client Kickoff documented and effective in aligning ETG and the client on scope, deliverables, schedule, responsibilities, communications, quality, risks, dependencies, approvals, and success expectations?</t>
  </si>
  <si>
    <t>Verify alignment between ETG and the client on how the project will be executed and governed.</t>
  </si>
  <si>
    <t>Scores Client Kickoff alignment; do not duplicate Internal Kickoff or ongoing client communications and project reviews unless separately deficient.</t>
  </si>
  <si>
    <t>Project Planning / Workbook Usage</t>
  </si>
  <si>
    <t>3.1</t>
  </si>
  <si>
    <t>Verify that project-management planning was completed and appropriately tailored to the project.</t>
  </si>
  <si>
    <t>Scores adequacy and tailoring of planning; do not duplicate Workbook maintenance or specific roles/communications controls unless separately deficient.</t>
  </si>
  <si>
    <t>3.2</t>
  </si>
  <si>
    <t>Were applicable Project Workbook components populated with sufficient, current, and usable information to support project execution, monitoring, and control?</t>
  </si>
  <si>
    <t>Verify that applicable Project Workbook components are populated and maintained as usable project-management records.</t>
  </si>
  <si>
    <t>Scores Workbook content and usability; do not duplicate the broader planning approach or specific risk/change controls unless separately deficient.</t>
  </si>
  <si>
    <t>3.3</t>
  </si>
  <si>
    <t>Were project roles, responsibilities, deliverables, stakeholder needs, communications, resources, and schedule commitments clearly established and maintained?</t>
  </si>
  <si>
    <t>Verify that the people, deliverables, communications, resources, and schedule commitments needed for execution are clearly established and maintained.</t>
  </si>
  <si>
    <t>Scores these execution-planning elements; do not duplicate general Workbook completeness or later review-cadence controls unless separately deficient.</t>
  </si>
  <si>
    <t>Risk Management</t>
  </si>
  <si>
    <t>4.1</t>
  </si>
  <si>
    <t>Were material project risks identified, assessed, and documented at appropriate points beginning with estimating and Sales Handoff?</t>
  </si>
  <si>
    <t>Verify timely identification, assessment, and documentation of material project risks beginning before execution.</t>
  </si>
  <si>
    <t>Scores risk identification and assessment; do not duplicate Risk Registry usage or ongoing risk review/mitigation unless separately deficient.</t>
  </si>
  <si>
    <t>4.2</t>
  </si>
  <si>
    <t>Was the Project Workbook Risk Registry used and maintained, or was an acceptable equivalent clearly identified and traceable through the Project Workbook or project records?</t>
  </si>
  <si>
    <t>Verify use of the standard Risk Registry or a clearly identified, traceable acceptable equivalent.</t>
  </si>
  <si>
    <t>Scores the risk-recording mechanism and traceability; do not duplicate the quality of initial risk identification or ongoing risk management unless separately deficient.</t>
  </si>
  <si>
    <t>4.3</t>
  </si>
  <si>
    <t>Were risks reviewed throughout execution, with risk status, impacts, mitigation actions, owners, changes, and dispositions updated as warranted?</t>
  </si>
  <si>
    <t>Verify active management of identified risks throughout project execution.</t>
  </si>
  <si>
    <t>Scores ongoing risk review, mitigation, ownership, and disposition; do not duplicate initial risk identification or registry existence unless separately deficient.</t>
  </si>
  <si>
    <t>Change Management</t>
  </si>
  <si>
    <t>5.1</t>
  </si>
  <si>
    <t>Were potential or actual changes to scope, schedule, budget, requirements, design, or other approved project baselines identified and documented when they arose?</t>
  </si>
  <si>
    <t>Verify that changes to approved project baselines are recognized and documented when they arise.</t>
  </si>
  <si>
    <t>Scores change identification and documentation; do not duplicate authorization/approval or incorporation of approved changes unless separately deficient.</t>
  </si>
  <si>
    <t>5.2</t>
  </si>
  <si>
    <t>Were changes evaluated, communicated, authorized, and approved before out-of-scope or at-risk work proceeded, except where the contract expressly permitted another approach?</t>
  </si>
  <si>
    <t>Verify that changes are evaluated and appropriately authorized before affected work proceeds.</t>
  </si>
  <si>
    <t>Scores evaluation, communication, authorization, and approval; do not duplicate initial change identification or downstream record updates unless separately deficient.</t>
  </si>
  <si>
    <t>5.3</t>
  </si>
  <si>
    <t>Were approved changes fully incorporated into applicable project-management, financial, schedule, technical, contractual, and client records?</t>
  </si>
  <si>
    <t>Verify that approved changes are fully incorporated into the records and baselines they affect.</t>
  </si>
  <si>
    <t>Scores implementation of approved changes into records; do not duplicate whether the change was identified or approved unless separately deficient.</t>
  </si>
  <si>
    <t>Project Monitoring / Review Cadence</t>
  </si>
  <si>
    <t>6.1</t>
  </si>
  <si>
    <t>Were project reviews conducted at required or appropriate intervals, including applicable project checkpoints and recurring project reviews?</t>
  </si>
  <si>
    <t>Verify that project reviews and checkpoints occur at required or appropriate intervals.</t>
  </si>
  <si>
    <t>Scores review occurrence and cadence; do not duplicate the content of reviews or follow-through on resulting actions unless separately deficient.</t>
  </si>
  <si>
    <t>6.2</t>
  </si>
  <si>
    <t>Did project reviews address current scope, schedule, budget and forecast, risks, changes, deliverables, quality, resources, client needs, and other material project conditions as applicable?</t>
  </si>
  <si>
    <t>Verify that project reviews address the material conditions needed to understand and control project performance.</t>
  </si>
  <si>
    <t>Scores review content and coverage; do not duplicate review cadence or action follow-through unless separately deficient.</t>
  </si>
  <si>
    <t>6.3</t>
  </si>
  <si>
    <t>Were decisions, actions, owners, due dates, escalations, and follow-up resulting from project reviews documented and carried through?</t>
  </si>
  <si>
    <t>Verify that project-review decisions and actions are documented, assigned, escalated where needed, and followed through.</t>
  </si>
  <si>
    <t>Scores action management resulting from reviews; do not duplicate whether reviews occurred or what topics they covered unless separately deficient.</t>
  </si>
  <si>
    <t>Closeout / Lessons Learned</t>
  </si>
  <si>
    <t>7.1</t>
  </si>
  <si>
    <t>Were applicable technical, administrative, financial, contractual, and client closeout activities completed and documented?</t>
  </si>
  <si>
    <t>Verify completion and documentation of the applicable overall project closeout activities.</t>
  </si>
  <si>
    <t>Scores overall closeout completion; do not duplicate specific deliverable/acceptance records or lessons learned unless separately deficient.</t>
  </si>
  <si>
    <t>7.2</t>
  </si>
  <si>
    <t>Were final deliverables, testing and acceptance records, turnover information, approved technical records, client signoffs, and other required closeout records completed and stored appropriately?</t>
  </si>
  <si>
    <t>Verify completion, approval, turnover, and proper storage of required final project records and deliverables.</t>
  </si>
  <si>
    <t>Scores final deliverable and acceptance records; do not duplicate broader administrative/financial closeout or lessons learned unless separately deficient.</t>
  </si>
  <si>
    <t>7.3</t>
  </si>
  <si>
    <t>Were lessons learned captured during the project and consolidated at closeout into useful recommendations, with project-specific and quality-system improvement opportunities identified for follow-up where warranted?</t>
  </si>
  <si>
    <t>Verify that lessons learned are captured and converted into useful project-specific and quality-system improvement opportunities.</t>
  </si>
  <si>
    <t>Scores lessons learned and improvement capture; do not duplicate general closeout completion or final deliverable records unless separately deficient.</t>
  </si>
  <si>
    <t>Controlled Question</t>
  </si>
  <si>
    <t>3 — Meets Expectation</t>
  </si>
  <si>
    <t>2 — Partially Meets Expectation</t>
  </si>
  <si>
    <t>1 — Does Not Meet Expectation</t>
  </si>
  <si>
    <t>Typical Evidence</t>
  </si>
  <si>
    <t>Material records are in Project Vault or permitted alternate locations with required traceability.</t>
  </si>
  <si>
    <t>Most records comply, but some material records or required links are inconsistently maintained.</t>
  </si>
  <si>
    <t>Material records are outside approved locations or cannot be traced to an approved repository.</t>
  </si>
  <si>
    <t>Primary source records are readily found without material searching or PM assistance.</t>
  </si>
  <si>
    <t>Records are ultimately found, but some require PM assistance or are stored unexpectedly.</t>
  </si>
  <si>
    <t>Material source records cannot be reliably located or verified after clarification.</t>
  </si>
  <si>
    <t>Contract/authorization; proposal; estimate/WBS; Workbook; Notebook; schedule; approved links.</t>
  </si>
  <si>
    <t>Scores findability—not the quality of each underlying process record.</t>
  </si>
  <si>
    <t>Records are substantially current, controlled, and complete for the project stage.</t>
  </si>
  <si>
    <t>Records are usable but contain material gaps, outdated information, unclear versions, or incomplete approvals.</t>
  </si>
  <si>
    <t>Records are materially disorganized, outdated, uncontrolled, or incomplete.</t>
  </si>
  <si>
    <t>Representative files; current logs/registers; approvals; revisions; links; final records.</t>
  </si>
  <si>
    <t>Scores overall record integrity—not isolated process-artifact failures.</t>
  </si>
  <si>
    <t>Handoff is documented and materially transfers the information needed for successful technical and commercial execution.</t>
  </si>
  <si>
    <t>Handoff occurred and transferred meaningful information, but material elements, documentation, or communication are incomplete.</t>
  </si>
  <si>
    <t>Handoff is absent, cannot be reliably evidenced, or fails to transfer material information needed for execution.</t>
  </si>
  <si>
    <t>Internal Kickoff is documented and materially aligns the project team on the required execution topics.</t>
  </si>
  <si>
    <t>Kickoff occurred and provides meaningful alignment, but material topics, participants, minutes, or follow-up are incomplete.</t>
  </si>
  <si>
    <t>Kickoff is absent, cannot be reliably evidenced, or does not materially align the project team on execution expectations.</t>
  </si>
  <si>
    <t>Internal Kickoff agenda/minutes; RACI; proposal; schedule; WBS/budget; Risk Registry; quality-role assignments.</t>
  </si>
  <si>
    <t>Scores internal team alignment; do not duplicate Sales Handoff or Client Kickoff unless separately deficient.</t>
  </si>
  <si>
    <t>Client Kickoff is documented and materially establishes shared understanding of the applicable project expectations.</t>
  </si>
  <si>
    <t>Kickoff occurred and establishes meaningful alignment, but material topics, documentation, or follow-up are incomplete.</t>
  </si>
  <si>
    <t>Kickoff is absent, cannot be reliably evidenced, or fails to establish material ETG/client alignment.</t>
  </si>
  <si>
    <t>Client Kickoff agenda/minutes; proposal; deliverables; preliminary schedule; roles; communication expectations; risks/dependencies; approval expectations.</t>
  </si>
  <si>
    <t>Scores initial ETG/client alignment; do not duplicate Internal Kickoff or ongoing project communications/reviews unless separately deficient.</t>
  </si>
  <si>
    <t>Applicable roles, deliverables, stakeholders, communications, resources, and schedule commitments are clearly established and maintained.</t>
  </si>
  <si>
    <t>The Project Workbook Risk Registry is used and maintained, or an equivalent is clearly identified, controlled, traceable, and functionally equivalent.</t>
  </si>
  <si>
    <t>A risk record exists and is usable, but maintenance, traceability, equivalence, or identification of the alternate method is materially incomplete.</t>
  </si>
  <si>
    <t>The expected risk record is absent, an alternate method is not clearly identified/equivalent, or material risks cannot be reliably traced.</t>
  </si>
  <si>
    <t>Project Workbook Risk Registry; clearly identified alternate risk register; Workbook/reference link; project records showing the controlled equivalent.</t>
  </si>
  <si>
    <t>Scores the risk-recording mechanism and traceability; do not duplicate initial risk identification or ongoing risk management unless separately deficient.</t>
  </si>
  <si>
    <t>Risks are actively reviewed and updated through execution with appropriate ownership, response actions, status, and disposition.</t>
  </si>
  <si>
    <t>Ongoing review is evident, but material risk updates, ownership, response actions, or dispositions are incomplete or inconsistent.</t>
  </si>
  <si>
    <t>Risks are not meaningfully monitored after identification, or current status/mitigation/ownership cannot be reliably verified.</t>
  </si>
  <si>
    <t>Current Risk Registry; mitigation/contingency actions; owners; status/disposition history; Monthly Project Review records; escalation records.</t>
  </si>
  <si>
    <t>Scores ongoing risk management; do not duplicate initial identification or registry existence unless separately deficient.</t>
  </si>
  <si>
    <t>Applicable changes are assessed for impact and receive required internal/client authorization before affected work proceeds.</t>
  </si>
  <si>
    <t>Meaningful evaluation/approval occurred, but documentation, timing, communication, or required approval is materially incomplete.</t>
  </si>
  <si>
    <t>Material out-of-scope/at-risk work proceeded without required evaluation or authorization, or approval cannot be reliably verified.</t>
  </si>
  <si>
    <t>Change Log; impact assessment; change proposal/order; client approval; internal authorization; contract provisions; related communications.</t>
  </si>
  <si>
    <t>Scores evaluation and authorization before work; do not duplicate initial change identification or incorporation into project records unless separately deficient.</t>
  </si>
  <si>
    <t>Approved changes are incorporated into all materially affected project baselines, records, and client/contractual documentation.</t>
  </si>
  <si>
    <t>Approved changes are reflected in most affected records, but one or more material updates are incomplete, delayed, or inconsistent.</t>
  </si>
  <si>
    <t>Approved changes are not materially incorporated, leaving project records/baselines inconsistent with the approved change.</t>
  </si>
  <si>
    <t>Approved Change Log entries; updated contract/PO; revised budget/EAC; revised schedule; updated requirements/design/deliverables; client records.</t>
  </si>
  <si>
    <t>Scores implementation of approved changes into affected records; do not duplicate whether the change was identified or approved unless separately deficient.</t>
  </si>
  <si>
    <t>Reviews consistently address the material project-control topics applicable at the time of review.</t>
  </si>
  <si>
    <t>Reviews address many key topics, but one or more material project conditions are omitted, outdated, or reviewed inconsistently.</t>
  </si>
  <si>
    <t>Reviews are perfunctory or fail to address material project-control conditions needed to understand and manage performance.</t>
  </si>
  <si>
    <t>Monthly Project Review agenda/minutes; current schedule; budget/EAC/forecast; Risk Registry; Change Log; quality/checkpoint status; resource status.</t>
  </si>
  <si>
    <t>Material decisions/actions from reviews are documented with ownership and follow-through, including escalation where warranted.</t>
  </si>
  <si>
    <t>Action management is evident, but material owners, due dates, closure evidence, escalation, or follow-up are incomplete or inconsistent.</t>
  </si>
  <si>
    <t>Material review decisions/actions are not documented, assigned, followed through, or escalated when needed.</t>
  </si>
  <si>
    <t>Project-review action-item tables; meeting minutes; owner/due-date tracking; completion dates; escalation communications; follow-up records.</t>
  </si>
  <si>
    <t>Applicable final deliverables, testing/acceptance, turnover, approvals/signoffs, and technical records are complete and stored appropriately.</t>
  </si>
  <si>
    <t>Most final records are complete and retrievable, but one or more material deliverables, approvals, turnover items, or storage controls are incomplete.</t>
  </si>
  <si>
    <t>Material final deliverables/acceptance/turnover records are missing, unapproved, or cannot be reliably verified in the project record.</t>
  </si>
  <si>
    <t>Turnover Package/transmittal; FAT/SAT/commissioning records; acceptance/signoff; as-builts; approved technical deliverables; training records; Vault records.</t>
  </si>
  <si>
    <t>Scores final deliverable, acceptance, turnover, and record completion; do not duplicate broader administrative/financial closeout or lessons learned.</t>
  </si>
  <si>
    <t>Lessons are captured during execution and consolidated at closeout into clear, useful insights/actions for future project and quality-system improvement.</t>
  </si>
  <si>
    <t>Meaningful lessons are documented, but capture, consolidation, context, recommendations, or follow-up identification is materially incomplete.</t>
  </si>
  <si>
    <t>Lessons learned are largely absent, cannot be reliably evidenced, or are too incomplete to provide useful improvement learning.</t>
  </si>
  <si>
    <t>Lessons Learned Log; lessons learned meeting minutes; action items/recommendations; reusable asset/case-study identification; closeout records.</t>
  </si>
  <si>
    <t>Source Document</t>
  </si>
  <si>
    <t>Section</t>
  </si>
  <si>
    <t>Page</t>
  </si>
  <si>
    <t>Requirement / Relevance</t>
  </si>
  <si>
    <t>Source File</t>
  </si>
  <si>
    <t>OPS-SOP-Project-Vault</t>
  </si>
  <si>
    <t>§1–2</t>
  </si>
  <si>
    <t>3</t>
  </si>
  <si>
    <t>Establishes standard project storage architecture and approved storage requirements.</t>
  </si>
  <si>
    <t>OPS-SOP-Project-Vault.docx</t>
  </si>
  <si>
    <t>§5.4–5.8</t>
  </si>
  <si>
    <t>4–5</t>
  </si>
  <si>
    <t>Defines folder architecture and permitted large-file and virtual-machine storage.</t>
  </si>
  <si>
    <t>§5.14.1–5.14.4</t>
  </si>
  <si>
    <t>7–8</t>
  </si>
  <si>
    <t>Defines treatment of client-hosted deliverables and required tracking.</t>
  </si>
  <si>
    <t>OPS-SP-System Development Life Cycle</t>
  </si>
  <si>
    <t>§5.1.9</t>
  </si>
  <si>
    <t>5</t>
  </si>
  <si>
    <t>Requires project-related files to follow the Project Vault SOP.</t>
  </si>
  <si>
    <t>OPS-SP-System-Development-Life-Cycle.pdf</t>
  </si>
  <si>
    <t>QSR Program Discussion Summary</t>
  </si>
  <si>
    <t>§§7–9</t>
  </si>
  <si>
    <t>5–7</t>
  </si>
  <si>
    <t>Establishes file-first review, PM clarification, and evidence-location treatment.</t>
  </si>
  <si>
    <t>QSR Program Discussion Summary 260707.docx</t>
  </si>
  <si>
    <t>Project Notebook</t>
  </si>
  <si>
    <t>Sales Handover Agenda</t>
  </si>
  <si>
    <t>16</t>
  </si>
  <si>
    <t>Identifies primary source records expected during handoff preparation.</t>
  </si>
  <si>
    <t>Project-Notebook.pdf</t>
  </si>
  <si>
    <t>Project Workbook</t>
  </si>
  <si>
    <t>Information worksheet</t>
  </si>
  <si>
    <t>N/A</t>
  </si>
  <si>
    <t>Identifies integrated project-management records and expected storage location.</t>
  </si>
  <si>
    <t>Project Workbook_rev3_[ProjectId] (1).xlsx</t>
  </si>
  <si>
    <t>§5.3–5.6</t>
  </si>
  <si>
    <t>4</t>
  </si>
  <si>
    <t>Defines organization, folder control, and project-file maintenance requirements.</t>
  </si>
  <si>
    <t>Requires approved, named, version-controlled final records and centralized tracking.</t>
  </si>
  <si>
    <t>§5.1.2–5.1.9</t>
  </si>
  <si>
    <t>Requires documented approvals, controlled records, client signoffs, and Vault storage.</t>
  </si>
  <si>
    <t>OPS-SP-Project Management Life Cycle</t>
  </si>
  <si>
    <t>§6.1.2</t>
  </si>
  <si>
    <t>6</t>
  </si>
  <si>
    <t>Defines Sales to Operations Handover intent, required agenda/minutes, and transfer of scope, objectives, Client expectations, risks/opportunities, and project history.</t>
  </si>
  <si>
    <t>OPS-SP-Project-Management-Life-Cycle.pdf</t>
  </si>
  <si>
    <t>OPS-SOP-Project Execution</t>
  </si>
  <si>
    <t>§7.1 and Attachment A §8.1</t>
  </si>
  <si>
    <t>BDM must provide project information to the PM; identifies Sales Handover Agenda in the Project Notebook as the execution tool.</t>
  </si>
  <si>
    <t>OPS-SOP-Project-Execution.pdf</t>
  </si>
  <si>
    <t>Sales Handover Agenda Template</t>
  </si>
  <si>
    <t>Internal Page 16</t>
  </si>
  <si>
    <t>Identifies expected preparation records and discussion topics: contract/authorization, proposal, estimate/WBS, schedule, scope, budget, risks/opportunities, and contacts.</t>
  </si>
  <si>
    <t>§6.3.2</t>
  </si>
  <si>
    <t>8–9</t>
  </si>
  <si>
    <t>Defines Internal Kickoff intent, required agenda, RACI review, formal minutes, and alignment on scope, schedule, budget, PMP, quality, roles, and responsibilities.</t>
  </si>
  <si>
    <t>Internal Kickoff Agenda Template</t>
  </si>
  <si>
    <t>Internal Page 18</t>
  </si>
  <si>
    <t>Provides standard Internal Kickoff topics covering project overview, scope, schedule, budget, quality, risk, safety, roles, and closeout expectations.</t>
  </si>
  <si>
    <t>§7.2 and Attachment A §8.1</t>
  </si>
  <si>
    <t>PM is accountable for PMLC/SDLC execution and team role clarity; current Project Notebook/Workbook tools are required for execution.</t>
  </si>
  <si>
    <t>§6.3.3</t>
  </si>
  <si>
    <t>9</t>
  </si>
  <si>
    <t>Defines Client Kickoff intent, required agenda/minutes, and alignment on objectives, scope, schedule, budget, quality, responsibilities, and success measures.</t>
  </si>
  <si>
    <t>Client Kickoff Guidance</t>
  </si>
  <si>
    <t>Instructions Pages 5–8</t>
  </si>
  <si>
    <t>Provides preparation and discussion guidance for scope, deliverables, schedule, responsibilities, communications, risks/dependencies, approvals, and success criteria.</t>
  </si>
  <si>
    <t>Client Kickoff Agenda Template</t>
  </si>
  <si>
    <t>Client Pages 34–35</t>
  </si>
  <si>
    <t>Provides the standard documented Client Kickoff agenda and meeting-minute structure.</t>
  </si>
  <si>
    <t>§6.2.1</t>
  </si>
  <si>
    <t>6–7</t>
  </si>
  <si>
    <t>Requires a Project Management Plan addressing scope, schedule, budget, quality, resources, communications, risks, procurement, stakeholders, and deviations.</t>
  </si>
  <si>
    <t>§5, §7.2, Attachment A §8.1</t>
  </si>
  <si>
    <t>3–5</t>
  </si>
  <si>
    <t>Requires compliance with PMLC/SDLC and use of the current Project Workbook/Notebook; identifies the PM Plan Checklist and planning tools.</t>
  </si>
  <si>
    <t>PM Plan Checklist and planning worksheets</t>
  </si>
  <si>
    <t>Provides the standard integrated planning tools used to tailor and document project-management planning.</t>
  </si>
  <si>
    <t>§5 and Attachment A §8.1</t>
  </si>
  <si>
    <t>Requires current Project Workbook use and identifies PM Plan Checklist, Communication Plan, Stakeholder Registry, Deliverables Log, Change Log, and Risk Registry.</t>
  </si>
  <si>
    <t>PM Plan Checklist; RACI; Communication Plan; Stakeholder Registry; Deliverables Log; Change Log; Risk Registry; Lessons Learned Log</t>
  </si>
  <si>
    <t>Contains the standard project-management records intended to be populated and maintained throughout execution.</t>
  </si>
  <si>
    <t>Requires the Project Management Plan to remain current and actionable through execution.</t>
  </si>
  <si>
    <t>7</t>
  </si>
  <si>
    <t>Requires planning for scope/deliverables, schedule, resources, communications, and stakeholder engagement.</t>
  </si>
  <si>
    <t>§6.3.7–6.3.8</t>
  </si>
  <si>
    <t>11</t>
  </si>
  <si>
    <t>Requires maintained resource allocation and communication plans during execution.</t>
  </si>
  <si>
    <t>§6.3.12</t>
  </si>
  <si>
    <t>13</t>
  </si>
  <si>
    <t>Requires identification/analysis of stakeholders and maintenance of the stakeholder register.</t>
  </si>
  <si>
    <t>§7.2</t>
  </si>
  <si>
    <t>PM is responsible for assigning project team members and ensuring roles and responsibilities are clearly understood.</t>
  </si>
  <si>
    <t>OPS-SOP-Estimating and Proposals</t>
  </si>
  <si>
    <t>§5.2 Risk</t>
  </si>
  <si>
    <t>Requires risks to be identified, assessed, and mitigations documented during estimating/proposal development and formally transferred to project execution.</t>
  </si>
  <si>
    <t>OPS-SOP-Estimating-and-Proposals.pdf</t>
  </si>
  <si>
    <t>§6.2.1 and §6.3.11</t>
  </si>
  <si>
    <t>7, 12–13</t>
  </si>
  <si>
    <t>Requires project risk identification/assessment during planning and continued risk management during execution.</t>
  </si>
  <si>
    <t>Requires risks/opportunities identified during sales to be captured in the Project Workbook Risk Registry.</t>
  </si>
  <si>
    <t>§6.3.11</t>
  </si>
  <si>
    <t>12–13</t>
  </si>
  <si>
    <t>Requires maintenance and updating of the Risk Register throughout the project life cycle.</t>
  </si>
  <si>
    <t>Attachment A §8.1</t>
  </si>
  <si>
    <t>Identifies Project Workbook Risk Registry as the standard Risk Management tool.</t>
  </si>
  <si>
    <t>Risk Registry worksheet</t>
  </si>
  <si>
    <t>Provides the standard Project Workbook risk-recording mechanism.</t>
  </si>
  <si>
    <t>Requires risk mitigation and continuous monitoring/review of identified and emerging risks throughout the project life cycle.</t>
  </si>
  <si>
    <t>Monthly Project Review Template</t>
  </si>
  <si>
    <t>Monthly Project Review Page 57</t>
  </si>
  <si>
    <t>Directs review of Risk Registry entries, owners, impact scores, mitigation/contingency plans, client-satisfaction risks, and escalation needs.</t>
  </si>
  <si>
    <t>Provides fields used to maintain current risk status, ownership, assessment, and response information.</t>
  </si>
  <si>
    <t>§5.1.3–5.1.4 and §6.3.1</t>
  </si>
  <si>
    <t>5, 8</t>
  </si>
  <si>
    <t>Requires adherence to change management for scope/schedule/budget changes and formalization of work beyond contractual scope.</t>
  </si>
  <si>
    <t>§6.3.4–6.3.6</t>
  </si>
  <si>
    <t>9–11</t>
  </si>
  <si>
    <t>Requires change management when scope, schedule, or budget changes occur.</t>
  </si>
  <si>
    <t>Change Log worksheet</t>
  </si>
  <si>
    <t>Provides the standard record for identifying and tracking project changes.</t>
  </si>
  <si>
    <t>§5.1.1 and §6.3.1</t>
  </si>
  <si>
    <t>4, 8</t>
  </si>
  <si>
    <t>Prohibits at-risk/out-of-scope work without approval and requires impact assessment plus appropriate internal and Client approvals before implementation.</t>
  </si>
  <si>
    <t>Tracks change definition, submission/approval status, and related change-control information.</t>
  </si>
  <si>
    <t>Directs review of the Change Request Log for outstanding proposals and purchase orders.</t>
  </si>
  <si>
    <t>§6.3.1</t>
  </si>
  <si>
    <t>8</t>
  </si>
  <si>
    <t>Requires approved changes to be recorded in detailed logs with impact and approval status and then implemented in a controlled manner.</t>
  </si>
  <si>
    <t>§6.3.4–6.3.8</t>
  </si>
  <si>
    <t>Connects change management to affected scope, schedule, budget, resources, and communications.</t>
  </si>
  <si>
    <t>Change Log and affected project-management worksheets</t>
  </si>
  <si>
    <t>Provides the standard change record and affected project-management records that should reflect approved changes.</t>
  </si>
  <si>
    <t>§6.3.10</t>
  </si>
  <si>
    <t>12</t>
  </si>
  <si>
    <t>Notebook Guidance</t>
  </si>
  <si>
    <t>Instructions Page 3</t>
  </si>
  <si>
    <t>States that monthly project reviews are executed per the Project Review Checklist.</t>
  </si>
  <si>
    <t>Monthly Project Review Pages 56–58</t>
  </si>
  <si>
    <t>Provides the standard recurring project-review template and action-item structure.</t>
  </si>
  <si>
    <t>Requires review of risk, schedule, resources, budget, quality/checkpoints, forecast, billing, change orders, and technical/resource challenges.</t>
  </si>
  <si>
    <t>Requires project reviews to assess progress, quality, and alignment with project objectives.</t>
  </si>
  <si>
    <t>§6.3.4–6.3.12</t>
  </si>
  <si>
    <t>9–13</t>
  </si>
  <si>
    <t>Defines the project-control areas that require ongoing management: scope, schedule, budget, resources, communications, quality, risk, and stakeholders.</t>
  </si>
  <si>
    <t>Monthly Project Review Pages 57–58</t>
  </si>
  <si>
    <t>Provides an Action Items table with owner, date, description, completion status, and completion date for review follow-up.</t>
  </si>
  <si>
    <t>§6.3</t>
  </si>
  <si>
    <t>7–13</t>
  </si>
  <si>
    <t>Execution and Monitoring/Controlling require continuous monitoring and adjustment to maintain alignment with project objectives.</t>
  </si>
  <si>
    <t>§6.4</t>
  </si>
  <si>
    <t>14–15</t>
  </si>
  <si>
    <t>Defines project closure as completing final acceptance, documentation, billing, client feedback, and lessons-learned activities.</t>
  </si>
  <si>
    <t>§6.9.3 Technical Project Closeout</t>
  </si>
  <si>
    <t>21</t>
  </si>
  <si>
    <t>Requires confirmation of completed scope, closeout participation, proper storage of deliverables/records, completed lessons entries, returned assets, and final time/expense submission.</t>
  </si>
  <si>
    <t>Internal Project Closeout Agenda Template</t>
  </si>
  <si>
    <t>Internal Pages 25–26</t>
  </si>
  <si>
    <t>Provides structured closeout review of administrative, financial, engineering, quality, acceptance, and lessons-learned activities.</t>
  </si>
  <si>
    <t>Client Project Closeout Agenda Template</t>
  </si>
  <si>
    <t>Client Pages 40–41</t>
  </si>
  <si>
    <t>Provides structured client closeout review including financial, engineering, design, commissioning, quality, acceptance, and lessons learned.</t>
  </si>
  <si>
    <t>§6.4.1 Formal Acceptance</t>
  </si>
  <si>
    <t>14</t>
  </si>
  <si>
    <t>Requires Turnover Package delivery and documented Client acceptance stored in Project Vault.</t>
  </si>
  <si>
    <t>§6.9.1–6.9.3</t>
  </si>
  <si>
    <t>20–21</t>
  </si>
  <si>
    <t>Requires training records, turnover package/transmittal with receipt confirmation, technical closeout, and proper storage of deliverables/records.</t>
  </si>
  <si>
    <t>Calls for final design/commissioning documentation, SAT results, formal acceptance/signoff, and confirmation of Turnover Package delivery.</t>
  </si>
  <si>
    <t>§6.3.13 Active Lessons Learned</t>
  </si>
  <si>
    <t>13–14</t>
  </si>
  <si>
    <t>Requires lessons to be captured and documented during execution in the Lessons Learned Log and applied to improve project outcomes.</t>
  </si>
  <si>
    <t>§6.4.4 Post-Project Lessons Learned Meeting</t>
  </si>
  <si>
    <t>15</t>
  </si>
  <si>
    <t>Defines formal post-project lessons-learned discussion and documentation of key insights and future action items.</t>
  </si>
  <si>
    <t>Requires lessons-learned log entries to be complete and participation in lessons-learned meetings during technical closeout.</t>
  </si>
  <si>
    <t>Lessons Learned Guidance and Lessons Learned Agenda Template</t>
  </si>
  <si>
    <t>Instructions Pages 10–13; Internal Pages 27–28</t>
  </si>
  <si>
    <t>Provides the standard approach for reviewing the Lessons Learned Log, consolidating insights/recommendations, and identifying follow-up actions.</t>
  </si>
  <si>
    <t>Action ID</t>
  </si>
  <si>
    <t>Action / Improvement</t>
  </si>
  <si>
    <t>Owner</t>
  </si>
  <si>
    <t>Due Date</t>
  </si>
  <si>
    <t>Status</t>
  </si>
  <si>
    <t>Closure Evidence</t>
  </si>
  <si>
    <t>Closed Date</t>
  </si>
  <si>
    <t>KPI</t>
  </si>
  <si>
    <t>Definition</t>
  </si>
  <si>
    <t>Value</t>
  </si>
  <si>
    <t>Root Cause Category</t>
  </si>
  <si>
    <t>Frequency</t>
  </si>
  <si>
    <t>Distribution</t>
  </si>
  <si>
    <t>Standard Not Followed</t>
  </si>
  <si>
    <t>Standard Unclear</t>
  </si>
  <si>
    <t>Tool / Template Friction</t>
  </si>
  <si>
    <t>Training Gap</t>
  </si>
  <si>
    <t>Workload / Capacity Constraint</t>
  </si>
  <si>
    <t>Governance / Enforcement Gap</t>
  </si>
  <si>
    <t>Yes / No</t>
  </si>
  <si>
    <t>Action Status</t>
  </si>
  <si>
    <t>Active</t>
  </si>
  <si>
    <t>Expected Evidence Found</t>
  </si>
  <si>
    <t>Yes</t>
  </si>
  <si>
    <t>Project Correction</t>
  </si>
  <si>
    <t>Open</t>
  </si>
  <si>
    <t>Completed</t>
  </si>
  <si>
    <t>Follow-Up Review</t>
  </si>
  <si>
    <t>In Progress</t>
  </si>
  <si>
    <t>Acceptable Alternate Evidence</t>
  </si>
  <si>
    <t>No</t>
  </si>
  <si>
    <t>Standard / Process</t>
  </si>
  <si>
    <t>Incomplete Evidence</t>
  </si>
  <si>
    <t>Further Evaluation Needed</t>
  </si>
  <si>
    <t>Tool / Template</t>
  </si>
  <si>
    <t>Closed</t>
  </si>
  <si>
    <t>Missing Evidence</t>
  </si>
  <si>
    <t>Training / Communication</t>
  </si>
  <si>
    <t>Deferred</t>
  </si>
  <si>
    <t>Inaccessible Evidence</t>
  </si>
  <si>
    <t>Governance</t>
  </si>
  <si>
    <t>Misfiled Evidence</t>
  </si>
  <si>
    <t>Further Evaluation</t>
  </si>
  <si>
    <t>Not Maintained as Expected</t>
  </si>
  <si>
    <t>Not Applicable</t>
  </si>
  <si>
    <t>Overall Conformance Rate</t>
  </si>
  <si>
    <t>Percentage of gaps (ratings 1 or 2) primarily related to quality-system design or enablement.</t>
  </si>
  <si>
    <t>Evidence Control Gap Rate</t>
  </si>
  <si>
    <t>Alternate Evidence Rate</t>
  </si>
  <si>
    <t>Supporting Statistic</t>
  </si>
  <si>
    <t>Total Review Instances</t>
  </si>
  <si>
    <t>Total number of review instances established in the Review Register.</t>
  </si>
  <si>
    <t>Completed Reviews</t>
  </si>
  <si>
    <t>Number of review instances marked Completed.</t>
  </si>
  <si>
    <t>Score</t>
  </si>
  <si>
    <t>Conformance Rate</t>
  </si>
  <si>
    <t>Applicable Question Results</t>
  </si>
  <si>
    <t>Total questions scored 3, 2, or 1; excludes N/A and UTD.</t>
  </si>
  <si>
    <t>Gap Rate</t>
  </si>
  <si>
    <t>Actions Worksheet</t>
  </si>
  <si>
    <t>Actions Column</t>
  </si>
  <si>
    <t>Unique identifier for the action or improvement item so it can be tracked through closure.</t>
  </si>
  <si>
    <t>Review that generated the action. Use the corresponding Review ID from the Review Register.</t>
  </si>
  <si>
    <t>QSR question associated with the finding or improvement opportunity.</t>
  </si>
  <si>
    <t>Briefly describe the specific corrective action, improvement, verification, or follow-up that is required. Make it clear enough to determine when it has been completed.</t>
  </si>
  <si>
    <t>Date the action was verified as complete and closed.</t>
  </si>
  <si>
    <t>Optional additional context that is useful for managing or understanding the action but does not belong in the other fields.</t>
  </si>
  <si>
    <t>Review Register Worksheet</t>
  </si>
  <si>
    <t>Review Register Column</t>
  </si>
  <si>
    <t>Short project name or description sufficient to identify the project.</t>
  </si>
  <si>
    <t>PM responsible for the project being reviewed.</t>
  </si>
  <si>
    <t>Business Unit that owns or executes the project.</t>
  </si>
  <si>
    <t>Person conducting the QSR.</t>
  </si>
  <si>
    <t>Date the reviewer began substantive review work.</t>
  </si>
  <si>
    <t>Date the review was completed.</t>
  </si>
  <si>
    <t>Total reviewer time spent completing the review. Used to calculate Average Review Time.</t>
  </si>
  <si>
    <t>Optional review-level context that is useful but does not belong in the individual question results.</t>
  </si>
  <si>
    <r>
      <t xml:space="preserve">Unique identifier for the review instance. Use the established format, such as </t>
    </r>
    <r>
      <rPr>
        <sz val="10"/>
        <rFont val="Calibri"/>
        <family val="2"/>
        <scheme val="minor"/>
      </rPr>
      <t>Project ID 01-R01</t>
    </r>
    <r>
      <rPr>
        <sz val="11"/>
        <rFont val="Calibri"/>
        <family val="2"/>
        <scheme val="minor"/>
      </rPr>
      <t>.</t>
    </r>
  </si>
  <si>
    <r>
      <t xml:space="preserve">Select the project lifecycle status used for the review, currently </t>
    </r>
    <r>
      <rPr>
        <b/>
        <sz val="11"/>
        <rFont val="Calibri"/>
        <family val="2"/>
        <scheme val="minor"/>
      </rPr>
      <t>Active</t>
    </r>
    <r>
      <rPr>
        <sz val="11"/>
        <rFont val="Calibri"/>
        <family val="2"/>
        <scheme val="minor"/>
      </rPr>
      <t xml:space="preserve"> or </t>
    </r>
    <r>
      <rPr>
        <b/>
        <sz val="11"/>
        <rFont val="Calibri"/>
        <family val="2"/>
        <scheme val="minor"/>
      </rPr>
      <t>Completed</t>
    </r>
    <r>
      <rPr>
        <sz val="11"/>
        <rFont val="Calibri"/>
        <family val="2"/>
        <scheme val="minor"/>
      </rPr>
      <t>.</t>
    </r>
  </si>
  <si>
    <r>
      <t xml:space="preserve">Numeric sequence of reviews for the same project. Use </t>
    </r>
    <r>
      <rPr>
        <sz val="10"/>
        <rFont val="Calibri"/>
        <family val="2"/>
        <scheme val="minor"/>
      </rPr>
      <t>1</t>
    </r>
    <r>
      <rPr>
        <sz val="11"/>
        <rFont val="Calibri"/>
        <family val="2"/>
        <scheme val="minor"/>
      </rPr>
      <t xml:space="preserve"> for the initial review, </t>
    </r>
    <r>
      <rPr>
        <sz val="10"/>
        <rFont val="Calibri"/>
        <family val="2"/>
        <scheme val="minor"/>
      </rPr>
      <t>2</t>
    </r>
    <r>
      <rPr>
        <sz val="11"/>
        <rFont val="Calibri"/>
        <family val="2"/>
        <scheme val="minor"/>
      </rPr>
      <t xml:space="preserve"> for the first follow-up, etc.</t>
    </r>
  </si>
  <si>
    <r>
      <t xml:space="preserve">Select </t>
    </r>
    <r>
      <rPr>
        <b/>
        <sz val="11"/>
        <rFont val="Calibri"/>
        <family val="2"/>
        <scheme val="minor"/>
      </rPr>
      <t>Initial Review</t>
    </r>
    <r>
      <rPr>
        <sz val="11"/>
        <rFont val="Calibri"/>
        <family val="2"/>
        <scheme val="minor"/>
      </rPr>
      <t xml:space="preserve"> for the first QSR or </t>
    </r>
    <r>
      <rPr>
        <b/>
        <sz val="11"/>
        <rFont val="Calibri"/>
        <family val="2"/>
        <scheme val="minor"/>
      </rPr>
      <t>Follow-Up Review</t>
    </r>
    <r>
      <rPr>
        <sz val="11"/>
        <rFont val="Calibri"/>
        <family val="2"/>
        <scheme val="minor"/>
      </rPr>
      <t xml:space="preserve"> for a targeted check of findings or actions from a prior review.</t>
    </r>
  </si>
  <si>
    <r>
      <t xml:space="preserve">Current status of the review, such as </t>
    </r>
    <r>
      <rPr>
        <b/>
        <sz val="11"/>
        <rFont val="Calibri"/>
        <family val="2"/>
        <scheme val="minor"/>
      </rPr>
      <t>Not Started</t>
    </r>
    <r>
      <rPr>
        <sz val="11"/>
        <rFont val="Calibri"/>
        <family val="2"/>
        <scheme val="minor"/>
      </rPr>
      <t xml:space="preserve">, </t>
    </r>
    <r>
      <rPr>
        <b/>
        <sz val="11"/>
        <rFont val="Calibri"/>
        <family val="2"/>
        <scheme val="minor"/>
      </rPr>
      <t>In Progress</t>
    </r>
    <r>
      <rPr>
        <sz val="11"/>
        <rFont val="Calibri"/>
        <family val="2"/>
        <scheme val="minor"/>
      </rPr>
      <t xml:space="preserve">, or </t>
    </r>
    <r>
      <rPr>
        <b/>
        <sz val="11"/>
        <rFont val="Calibri"/>
        <family val="2"/>
        <scheme val="minor"/>
      </rPr>
      <t>Completed</t>
    </r>
    <r>
      <rPr>
        <sz val="11"/>
        <rFont val="Calibri"/>
        <family val="2"/>
        <scheme val="minor"/>
      </rPr>
      <t>.</t>
    </r>
  </si>
  <si>
    <t>Review Entry Worksheet</t>
  </si>
  <si>
    <t>Review Entry Column</t>
  </si>
  <si>
    <t>Identifies the review instance. This links the question result back to the corresponding review in the Review Register.</t>
  </si>
  <si>
    <t>The QSR review area associated with the question, such as Risk Management or Change Management. This is predefined and should not be edited.</t>
  </si>
  <si>
    <t>The approved QSR question being evaluated. This is predefined and should not be edited.</t>
  </si>
  <si>
    <t>Brief explanation of what the question is intended to evaluate. Use this to help interpret the question consistently.</t>
  </si>
  <si>
    <t>Select the status that best describes the evidence supporting the result, such as Expected Evidence Found, Acceptable Alternate Evidence, Incomplete Evidence, or Missing Evidence.</t>
  </si>
  <si>
    <t>Identify the specific evidence actually reviewed and where it was found or linked so another reviewer could retrace the basis for the rating.</t>
  </si>
  <si>
    <t>If clarification was used, briefly summarize the information that affected the review conclusion. PM explanation provides context but does not replace required evidence.</t>
  </si>
  <si>
    <t>For a result of 1 or 2, briefly describe what did not meet the expectation and the material gap observed. For a result of 3, an observation is optional unless useful context should be retained.</t>
  </si>
  <si>
    <t>Required for results of 1 or 2. Select the single approved root-cause category that best explains why the gap occurred.</t>
  </si>
  <si>
    <t>Briefly explain why the selected root cause applies. Describe the reason for the gap rather than simply repeating the finding.</t>
  </si>
  <si>
    <r>
      <t xml:space="preserve">Unique identifier for the controlled QSR question, such as </t>
    </r>
    <r>
      <rPr>
        <sz val="10"/>
        <rFont val="Calibri"/>
        <family val="2"/>
        <scheme val="minor"/>
      </rPr>
      <t>4.2</t>
    </r>
    <r>
      <rPr>
        <sz val="11"/>
        <rFont val="Calibri"/>
        <family val="2"/>
        <scheme val="minor"/>
      </rPr>
      <t>. This is predefined and should not be edited.</t>
    </r>
  </si>
  <si>
    <r>
      <t xml:space="preserve">Select </t>
    </r>
    <r>
      <rPr>
        <b/>
        <sz val="11"/>
        <rFont val="Calibri"/>
        <family val="2"/>
        <scheme val="minor"/>
      </rPr>
      <t>Yes</t>
    </r>
    <r>
      <rPr>
        <sz val="11"/>
        <rFont val="Calibri"/>
        <family val="2"/>
        <scheme val="minor"/>
      </rPr>
      <t xml:space="preserve"> if PM clarification materially helped determine applicability, locate evidence, reconcile records, or understand how the control was performed. Otherwise select </t>
    </r>
    <r>
      <rPr>
        <b/>
        <sz val="11"/>
        <rFont val="Calibri"/>
        <family val="2"/>
        <scheme val="minor"/>
      </rPr>
      <t>No</t>
    </r>
    <r>
      <rPr>
        <sz val="11"/>
        <rFont val="Calibri"/>
        <family val="2"/>
        <scheme val="minor"/>
      </rPr>
      <t>.</t>
    </r>
  </si>
  <si>
    <t>Scoring Guide Worksheet</t>
  </si>
  <si>
    <t>For each question, the worksheet provides:</t>
  </si>
  <si>
    <t>Scoring Guide Column</t>
  </si>
  <si>
    <t>Purpose</t>
  </si>
  <si>
    <t>Identifies the QSR review area the question belongs to.</t>
  </si>
  <si>
    <t>Identifies the specific controlled question.</t>
  </si>
  <si>
    <t>Shows the approved question being evaluated.</t>
  </si>
  <si>
    <t>Describes what satisfactory performance looks like when the expectation is substantially fulfilled and supported by evidence.</t>
  </si>
  <si>
    <t>Describes conditions where meaningful elements are present, but execution, evidence, maintenance, timeliness, approval, or effectiveness is materially incomplete.</t>
  </si>
  <si>
    <t>Describes conditions where the applicable expectation is not met, is ineffective, or cannot be reliably verified.</t>
  </si>
  <si>
    <t>Gives examples of records that may support the reviewer’s conclusion. These are examples, not an exhaustive checklist.</t>
  </si>
  <si>
    <t>Clarifies what the question is intended to score and helps prevent the same issue from being counted under multiple questions unless a separate control also failed.</t>
  </si>
  <si>
    <r>
      <t xml:space="preserve">The reviewer should filter to the applicable </t>
    </r>
    <r>
      <rPr>
        <b/>
        <sz val="11"/>
        <rFont val="Calibri"/>
        <family val="2"/>
        <scheme val="minor"/>
      </rPr>
      <t>Review Area</t>
    </r>
    <r>
      <rPr>
        <sz val="11"/>
        <rFont val="Calibri"/>
        <family val="2"/>
        <scheme val="minor"/>
      </rPr>
      <t xml:space="preserve"> or </t>
    </r>
    <r>
      <rPr>
        <b/>
        <sz val="11"/>
        <rFont val="Calibri"/>
        <family val="2"/>
        <scheme val="minor"/>
      </rPr>
      <t>Question ID</t>
    </r>
    <r>
      <rPr>
        <sz val="11"/>
        <rFont val="Calibri"/>
        <family val="2"/>
        <scheme val="minor"/>
      </rPr>
      <t xml:space="preserve">, compare the available evidence to the 3/2/1 criteria, consider the </t>
    </r>
    <r>
      <rPr>
        <b/>
        <sz val="11"/>
        <rFont val="Calibri"/>
        <family val="2"/>
        <scheme val="minor"/>
      </rPr>
      <t>Typical Evidence</t>
    </r>
    <r>
      <rPr>
        <sz val="11"/>
        <rFont val="Calibri"/>
        <family val="2"/>
        <scheme val="minor"/>
      </rPr>
      <t xml:space="preserve"> and </t>
    </r>
    <r>
      <rPr>
        <b/>
        <sz val="11"/>
        <rFont val="Calibri"/>
        <family val="2"/>
        <scheme val="minor"/>
      </rPr>
      <t>Key Boundary</t>
    </r>
    <r>
      <rPr>
        <sz val="11"/>
        <rFont val="Calibri"/>
        <family val="2"/>
        <scheme val="minor"/>
      </rPr>
      <t xml:space="preserve">, and then enter the selected result on the </t>
    </r>
    <r>
      <rPr>
        <b/>
        <sz val="11"/>
        <rFont val="Calibri"/>
        <family val="2"/>
        <scheme val="minor"/>
      </rPr>
      <t>Review Entry</t>
    </r>
    <r>
      <rPr>
        <sz val="11"/>
        <rFont val="Calibri"/>
        <family val="2"/>
        <scheme val="minor"/>
      </rPr>
      <t xml:space="preserve"> worksheet.</t>
    </r>
  </si>
  <si>
    <t>Source Matrix Worksheet</t>
  </si>
  <si>
    <t>Source Matrix Column</t>
  </si>
  <si>
    <t>Identifies the QSR review area associated with the source reference.</t>
  </si>
  <si>
    <t>Identifies the specific QSR question supported by the source. A question may have multiple source-reference rows.</t>
  </si>
  <si>
    <t>Identifies the policy, SOP, standard, Project Workbook, Project Notebook, or other controlling QSR source containing the applicable requirement or guidance.</t>
  </si>
  <si>
    <t>Identifies the specific section, subsection, worksheet, agenda, or other location within the source.</t>
  </si>
  <si>
    <t>Briefly explains what the cited source establishes and why it is relevant to the associated QSR question.</t>
  </si>
  <si>
    <t>Identifies the specific source file used for the reference.</t>
  </si>
  <si>
    <r>
      <t xml:space="preserve">Use the </t>
    </r>
    <r>
      <rPr>
        <b/>
        <sz val="11"/>
        <rFont val="Calibri"/>
        <family val="2"/>
        <scheme val="minor"/>
      </rPr>
      <t>Source Matrix</t>
    </r>
    <r>
      <rPr>
        <sz val="11"/>
        <rFont val="Calibri"/>
        <family val="2"/>
        <scheme val="minor"/>
      </rPr>
      <t xml:space="preserve"> worksheet to identify the controlling source requirements that support each QSR question and to help the reviewer verify the basis for the scoring expectation.</t>
    </r>
  </si>
  <si>
    <r>
      <t xml:space="preserve">Provides the applicable page number or page range where available. </t>
    </r>
    <r>
      <rPr>
        <sz val="10"/>
        <rFont val="Calibri"/>
        <family val="2"/>
        <scheme val="minor"/>
      </rPr>
      <t>N/A</t>
    </r>
    <r>
      <rPr>
        <sz val="11"/>
        <rFont val="Calibri"/>
        <family val="2"/>
        <scheme val="minor"/>
      </rPr>
      <t xml:space="preserve"> is used where conventional page numbering does not apply, such as a workbook worksheet.</t>
    </r>
  </si>
  <si>
    <r>
      <t xml:space="preserve">The reviewer should filter the worksheet by </t>
    </r>
    <r>
      <rPr>
        <b/>
        <sz val="11"/>
        <rFont val="Calibri"/>
        <family val="2"/>
        <scheme val="minor"/>
      </rPr>
      <t>Review Area</t>
    </r>
    <r>
      <rPr>
        <sz val="11"/>
        <rFont val="Calibri"/>
        <family val="2"/>
        <scheme val="minor"/>
      </rPr>
      <t xml:space="preserve"> and/or </t>
    </r>
    <r>
      <rPr>
        <b/>
        <sz val="11"/>
        <rFont val="Calibri"/>
        <family val="2"/>
        <scheme val="minor"/>
      </rPr>
      <t>Question ID</t>
    </r>
    <r>
      <rPr>
        <sz val="11"/>
        <rFont val="Calibri"/>
        <family val="2"/>
        <scheme val="minor"/>
      </rPr>
      <t xml:space="preserve"> when additional source context is needed. Multiple rows for a question indicate that the expectation is supported by more than one applicable source.</t>
    </r>
  </si>
  <si>
    <r>
      <t xml:space="preserve">The Source Matrix is intended to make the QSR requirements </t>
    </r>
    <r>
      <rPr>
        <b/>
        <sz val="11"/>
        <rFont val="Calibri"/>
        <family val="2"/>
        <scheme val="minor"/>
      </rPr>
      <t>traceable and verifiable</t>
    </r>
    <r>
      <rPr>
        <sz val="11"/>
        <rFont val="Calibri"/>
        <family val="2"/>
        <scheme val="minor"/>
      </rPr>
      <t xml:space="preserve">. It should be used together with the </t>
    </r>
    <r>
      <rPr>
        <b/>
        <sz val="11"/>
        <rFont val="Calibri"/>
        <family val="2"/>
        <scheme val="minor"/>
      </rPr>
      <t>Scoring Guide</t>
    </r>
    <r>
      <rPr>
        <sz val="11"/>
        <rFont val="Calibri"/>
        <family val="2"/>
        <scheme val="minor"/>
      </rPr>
      <t>: the Scoring Guide explains how to evaluate the question, while the Source Matrix identifies the controlling documents behind that expectation.</t>
    </r>
  </si>
  <si>
    <t>BU</t>
  </si>
  <si>
    <t>Central</t>
  </si>
  <si>
    <t>East</t>
  </si>
  <si>
    <t>GL</t>
  </si>
  <si>
    <t>MCT</t>
  </si>
  <si>
    <t>West</t>
  </si>
  <si>
    <t>Worksheet</t>
  </si>
  <si>
    <t>Instructions</t>
  </si>
  <si>
    <t>Provides the basic rules for using the QSR workbook, including how to complete the Review Register and Review Entry fields and how scoring, evidence, root cause, and follow-up should be handled.</t>
  </si>
  <si>
    <t>Serves as the master list of review instances and records review-level information such as project, reviewer, review type, status, dates, and review time.</t>
  </si>
  <si>
    <t>Captures the question-by-question results for each review, including evidence, PM clarification, observations, root cause, quality-system relationship, and follow-up needs.</t>
  </si>
  <si>
    <t>Provides concise 3/2/1 scoring criteria, typical evidence, and question boundaries to help reviewers apply ratings consistently.</t>
  </si>
  <si>
    <t>Maps each QSR question to the controlling source documents, sections, pages, and requirements that support the expectation being reviewed.</t>
  </si>
  <si>
    <t>Actions</t>
  </si>
  <si>
    <t>Tracks corrective actions, improvement opportunities, ownership, due dates, status, and closure evidence resulting from QSR findings.</t>
  </si>
  <si>
    <t>KPI Summary</t>
  </si>
  <si>
    <t>Summarizes QSR performance, review-area results, root-cause trends, evidence-control metrics, completion, and review-effort measures.</t>
  </si>
  <si>
    <t>Lists</t>
  </si>
  <si>
    <t>Stores the controlled dropdown values used throughout the workbook, such as review types, statuses, evidence categories, root causes, and action classifications.</t>
  </si>
  <si>
    <t>Action Type</t>
  </si>
  <si>
    <r>
      <t xml:space="preserve">Use the </t>
    </r>
    <r>
      <rPr>
        <b/>
        <sz val="11"/>
        <rFont val="Calibri"/>
        <family val="2"/>
        <scheme val="minor"/>
      </rPr>
      <t>Scoring Guide</t>
    </r>
    <r>
      <rPr>
        <sz val="11"/>
        <rFont val="Calibri"/>
        <family val="2"/>
        <scheme val="minor"/>
      </rPr>
      <t xml:space="preserve"> worksheet to help reviewers assign consistent ratings for each QSR question. The Scoring Guide is intended to improve consistency between reviewers. It does not replace reviewer judgment, the controlling source requirements, or the need to consider the project’s lifecycle stage and applicability. N/A and UTD are handled under the separate QSR scoring rules rather than the 3/2/1 question-specific criteria.</t>
    </r>
  </si>
  <si>
    <t>N/A - Not Applicable</t>
  </si>
  <si>
    <t>Evaluation Boundary</t>
  </si>
  <si>
    <t>Evaluates whether records applicable to the project are maintained in an approved repository. Applicability depends on the project’s scope, execution approach, and activities performed. The existence of a standard Project Vault folder or template does not, by itself, mean the corresponding record is required. Does not evaluate general file organization or the substantive adequacy of individual records.</t>
  </si>
  <si>
    <t>Project Vault project folder and applicable standard subfolders; records applicable to the project; links to approved alternate storage locations, including large files, virtual machines, or client-hosted deliverables.</t>
  </si>
  <si>
    <t>Sales Handover agenda and meeting minutes documenting discussion or transfer of applicable project information, including scope and deliverables, schedule, budget/WBS, risks and opportunities, client expectations/contacts, contractual or commercial considerations, and relevant project background; referenced or attached supporting records where identified in the handoff documentation; PM clarification where the documented handoff is unclear.</t>
  </si>
  <si>
    <t>Evaluates whether applicable information was actually transferred from Sales to Operations, based primarily on the documented Sales Handover and targeted PM clarification where needed. The existence of underlying sales or project records alone does not demonstrate that the information was communicated during the handoff.</t>
  </si>
  <si>
    <t>Begin with the PM Plan Checklist and confirm that each applicable PMLC planning area was considered and that an appropriate planning approach was established for the project. Review supporting records only to the extent necessary to verify the existence and reasonable adequacy of the initial plan: Scope Management — Deliverables Log, Change Log, applicable scope/requirements records; Schedule Management — project schedule; Budget Management — WBS/budget and Intacct; Quality Management — Project Checkpoint and applicable quality planning; Resource Management — SRM/resource planning; Communications Management — Communication Plan; Risk Management — Risk Registry; Procurement Management — applicable procurement planning/records; Stakeholder Management — Stakeholder Registry. Detailed record maintenance and substantive execution of these controls are evaluated under subsequent questions where applicable.</t>
  </si>
  <si>
    <t>Were all applicable PMLC project-management planning areas considered and appropriately tailored to the project’s size, complexity, risk, contract, and execution needs?</t>
  </si>
  <si>
    <t>Were applicable Project Workbook components used and sufficiently populated to provide the required project-management records?</t>
  </si>
  <si>
    <t>Were applicable project roles, responsibilities, deliverables, stakeholder needs, communications, resources, and schedule commitments clearly established and maintained?</t>
  </si>
  <si>
    <t>All applicable PMLC project-management planning areas were considered, and the planning approach was appropriately tailored to the project’s size, complexity, risk, contract, and execution needs. Material N/A or tailored treatment is reasonably supported.</t>
  </si>
  <si>
    <t>Most applicable planning areas were considered, but one or more material areas were not clearly addressed, applicability or tailoring is inadequately supported, or the planning approach contains material gaps.</t>
  </si>
  <si>
    <t>Required project-management planning was largely not performed or cannot be reliably evidenced, or material planning areas were not considered such that an appropriate project-management approach was not established.</t>
  </si>
  <si>
    <t>Evaluates whether the applicable PMLC management areas were considered and appropriately tailored—not the detailed completeness, currency, or ongoing effectiveness of each supporting control. Deficiencies covered by a more specific QSR question are scored under that question rather than duplicated here.</t>
  </si>
  <si>
    <t>Applicable Project Workbook components are used and populated sufficiently to serve as the required project-management records for the project.</t>
  </si>
  <si>
    <t>The Project Workbook is meaningfully used, but one or more material applicable components are incomplete, inconsistently populated, or require clarification to function as reliable project-management records</t>
  </si>
  <si>
    <t>Applicable Project Workbook components are largely unused, absent, or insufficiently populated to provide reliable project-management records.</t>
  </si>
  <si>
    <t>Evaluates use and population of applicable Project Workbook components—not the substantive effectiveness of the management processes represented by those components. Risk, change, review, and other controls having dedicated QSR questions are evaluated under those questions.</t>
  </si>
  <si>
    <t>Applicable roles and responsibilities, deliverables, stakeholder needs, communications, resources, and schedule commitments were clearly established and maintained sufficiently to support project execution.</t>
  </si>
  <si>
    <t>Most applicable elements were established, but one or more material elements became incomplete, unclear, outdated, or inconsistently maintained during execution.</t>
  </si>
  <si>
    <t>Evaluates establishment and ongoing maintenance of roles/responsibilities, deliverables, stakeholder needs, communications, resources, and schedule commitments. Does not score general Workbook completeness or controls addressed by dedicated risk, change, project-review, or other QSR questions.</t>
  </si>
  <si>
    <t>Applicable Project Workbook worksheets supporting the Project Management Plan, including the PM Plan Checklist, Communication Plan, Stakeholder Registry, Deliverables Log, Change Log, and Risk Registry. Each applicable worksheet should contain sufficient project-specific information to demonstrate that the applicable management area has been addressed and to function as the intended project-management record. Blank worksheets, template/example content, placeholders, or entries that do not provide enough information to understand what is being managed do not constitute sufficient population. Sufficient population is based on the information reasonably required for the worksheet to perform its intended role on the project and does not require entries for conditions or events that have not occurred.</t>
  </si>
  <si>
    <t>Evidence that applicable execution-management elements were established and maintained as the project progressed, including: RACI or equivalent evidence of current project roles and responsibilities; Deliverables Log or equivalent evidence identifying applicable deliverables, ownership, status, and commitments; Stakeholder Registry showing applicable stakeholders and relevant engagement information; Communication Plan showing the project’s communication needs, participants, methods, and cadence; current project schedule reflecting applicable activities, milestones, dependencies, and commitments; SRM/resource planning reflecting the resources needed for execution; and kickoff, project-review, or other project records that substantiate material updates or changes to these elements during execution. Evidence should be evaluated based on the project’s scope, stage, complexity, and execution needs.</t>
  </si>
  <si>
    <t>Review/revise all questions .2 and .3 Typical Evidence and Evaluation Boundaries - EXCEPT 3.2-3.3 as these have already been revised.</t>
  </si>
  <si>
    <t>Evidence of risk identification and assessment at the applicable project stages, including: estimating/proposal risk assessment or risk register showing risks identified during development of the estimate and proposal; proposal or supporting sales records documenting material risks, assumptions, or uncertainties where applicable; Sales Handover agenda/minutes documenting transfer and discussion of identified risks and opportunities; and the initial Project Workbook Risk Registry showing risks carried forward from Sales and risks identified during project planning. PM clarification may be used to understand when and how risks were identified or transferred where the records are unclear.</t>
  </si>
  <si>
    <t>Review/revise all questions .2 and .3 as necessary.</t>
  </si>
  <si>
    <t>Material risks were identified and assessed at appropriate stages beginning with estimating/proposal development, and applicable risks were documented and carried forward through Sales Handoff into project planning/execution. Evidence demonstrates a reasonably complete and traceable progression of material risks appropriate to the project.</t>
  </si>
  <si>
    <t>Meaningful risk identification and assessment occurred, but one or more material aspects are incomplete or inconsistent—for example, some material risks were identified late, assessment was incomplete, transfer from estimating/Sales Handoff is only partially evidenced, or applicable risks were not consistently carried forward into project planning.</t>
  </si>
  <si>
    <t>Material risk identification and assessment were largely absent, materially inadequate, or cannot be reliably evidenced after reasonable record review and PM clarification; or significant known risks were not transferred into project planning/execution such that the required risk-identification process was not meaningfully performed.</t>
  </si>
  <si>
    <t>Evaluates whether material risks were identified and assessed at appropriate stages and whether applicable pre-execution risks were carried forward into project planning. The Risk Registry may be reviewed as evidence of identification and transfer, but the risk-recording mechanism and traceability are evaluated under 4.2, and ongoing review, mitigation, ownership, status, and disposition are evaluated under 4.3.</t>
  </si>
  <si>
    <t>Evidence that potential or actual changes to an approved project baseline were recognized and documented when identified. Begin with the Project Workbook Change Log and review applicable supporting records that may indicate a change, including client requests or direction, RFIs and clarifications, meeting minutes or action items, scope or requirements changes, design revisions, schedule deviations or requested date changes, budget/cost impacts, and other project records identifying a departure from an approved scope, schedule, budget, requirement, design, or other project baseline. Supporting records should be used to determine whether a material change condition arose and whether it was recognized and captured as a change; approval and authorization of the change are evaluated under Question 5.2.</t>
  </si>
  <si>
    <t>Evaluates whether material potential or actual departures from approved project baselines were recognized and documented as change conditions when they arose. Supporting project records may be reviewed to identify evidence of change conditions that should have been captured. Does not evaluate whether the change was fully assessed, communicated, authorized, or approved before work proceeded (5.2), or whether an approved change was incorporated into affected project records and baselines (5.3).</t>
  </si>
  <si>
    <t>Material potential or actual changes to approved project baselines are recognized and documented when they arise, with sufficient information to understand the nature of the change.</t>
  </si>
  <si>
    <t>Meaningful change identification is evident, but one or more material changes are documented late, inconsistently, or without sufficient information to understand what changed.</t>
  </si>
  <si>
    <t>Material change conditions are not recognized or documented, or available records are insufficient to establish that changes were meaningfully identified when they arose.</t>
  </si>
  <si>
    <t>Evidence that applicable Project Checkpoint Reviews and recurring Project Reviews occurred at the required or appropriate intervals. For Project Checkpoints, review the applicable 5%, 10%, and 100% Project Checkpoint records based on the project’s stage and cost-budget completion. For recurring Project Reviews, review dated Monthly Project Review records/minutes across the applicable execution period to determine whether a reasonably consistent review cadence was maintained. Review dates, completed templates/minutes, and other contemporaneous records may be used to establish when reviews occurred. PM clarification may be used where timing or applicability is unclear but does not replace required documented review evidence.</t>
  </si>
  <si>
    <t>All applicable required Project Checkpoint Reviews were completed and documented, and recurring Project Reviews occurred at a reasonably consistent cadence appropriate to the project and its execution period.</t>
  </si>
  <si>
    <t>Meaningful review discipline is evident, but one or more applicable Project Checkpoints were missed or materially late, or recurring Project Reviews contain material gaps or inconsistent intervals.</t>
  </si>
  <si>
    <t>Applicable required Project Checkpoints were largely not performed/documented, recurring Project Review discipline was largely absent, or the available record is insufficient to establish that meaningful recurring project reviews occurred.</t>
  </si>
  <si>
    <t>Evaluates whether applicable Project Checkpoint Reviews and recurring Project Reviews occurred and were documented at the required or appropriate intervals. Does not evaluate the adequacy of topics covered during the reviews (6.2) or whether decisions and actions resulting from the reviews were followed through (6.3).</t>
  </si>
  <si>
    <t>Requires documented project reviews and completion of project reviews at 5%, 50%, and 100% of cost budget completion.</t>
  </si>
  <si>
    <t>Internal Project Closeout and, when applicable, Client Project Closeout agenda/minutes documenting completion of applicable closeout activities. Review evidence across the following applicable areas: administrative closeout — final time and expense entry, project-file cleanup, return/archive of project assets and other administrative completion activities; financial closeout — final cost/budget reconciliation, vendor invoices and payments, purchase-order closure, change-order disposition, final billing and related financial obligations; technical closeout — confirmation that applicable engineering, design, manufacturing, commissioning, and project scope activities are complete; contractual/client closeout — confirmation that contractual obligations and outstanding client items have been addressed and the project is ready for formal closure. Specific final deliverables, turnover packages, testing/acceptance records and client signoffs are evaluated under 7.2, and lessons learned are evaluated under 7.3.</t>
  </si>
  <si>
    <t>Applicable closeout activities across the relevant administrative, financial, technical, contractual, and client areas were completed and documented, with no material unresolved closeout items.</t>
  </si>
  <si>
    <t>Meaningful closeout was performed and documented, but one or more material applicable closeout activities remain incomplete, unresolved, or inadequately documented.</t>
  </si>
  <si>
    <t>Material applicable closeout activities were largely not completed, were not meaningfully documented, or the available evidence is insufficient to establish that the project underwent a reliable closeout process.</t>
  </si>
  <si>
    <t>3 - Meets Expectation</t>
  </si>
  <si>
    <t>2 - Partially Meets Expectation</t>
  </si>
  <si>
    <t>1 - Does Not Meet Expectation</t>
  </si>
  <si>
    <t>UTD - Unable to Determine</t>
  </si>
  <si>
    <t>Evaluates overall completion of the applicable project-closeout process across administrative, financial, technical, contractual, and client activities. Does not duplicate the detailed completeness, approval, storage, or acceptance of final deliverables and turnover records evaluated under 7.2, or lessons-learned capture and improvement follow-up evaluated under 7.3.</t>
  </si>
  <si>
    <t>Re-introduce the .2 and .3 questions.</t>
  </si>
  <si>
    <t>Verify that all applicable PMLC project-management planning areas were considered and appropriately tailored to the project.</t>
  </si>
  <si>
    <t>Verify that applicable Project Workbook components supporting the Project Management Plan are used and sufficiently populated to serve as the intended project-management records.</t>
  </si>
  <si>
    <t>Verify that applicable roles and responsibilities, deliverables, stakeholder needs, communications, resources, and schedule commitments are established and maintained to support project execution.</t>
  </si>
  <si>
    <t>Verify that material project risks are identified and assessed at appropriate stages and that applicable pre-execution risks are carried forward into project planning.</t>
  </si>
  <si>
    <t>Verify that material potential or actual changes to approved project baselines are recognized and documented when they arise.</t>
  </si>
  <si>
    <t>Review/revise all questions .2 and .3 Scoring guidance - EXCEPT 3.2-3.3 as these have already been revised. This may result in updating the Question field.</t>
  </si>
  <si>
    <t>Project/job number for the project being reviewed. Project selection criteria:
 - PM diversity where practical
 - active projects far enough along to provide meaningful evidence
 - completed projects preferably within the last 6–12 months
 - mix of small, medium, and larger projects
 - mix of routine and 1–2 known-challenged projects per BU
 - exclusions for projects that are too new, too small, administrative-only, or unusually atypical</t>
  </si>
  <si>
    <r>
      <t xml:space="preserve">Select the category that best describes the type of action or improvement being addressed:
  - </t>
    </r>
    <r>
      <rPr>
        <b/>
        <sz val="11"/>
        <rFont val="Calibri"/>
        <family val="2"/>
        <scheme val="minor"/>
      </rPr>
      <t>Project</t>
    </r>
    <r>
      <rPr>
        <sz val="11"/>
        <rFont val="Calibri"/>
        <family val="2"/>
        <scheme val="minor"/>
      </rPr>
      <t xml:space="preserve"> </t>
    </r>
    <r>
      <rPr>
        <b/>
        <sz val="11"/>
        <rFont val="Calibri"/>
        <family val="2"/>
        <scheme val="minor"/>
      </rPr>
      <t>Correction</t>
    </r>
    <r>
      <rPr>
        <sz val="11"/>
        <rFont val="Calibri"/>
        <family val="2"/>
        <scheme val="minor"/>
      </rPr>
      <t xml:space="preserve"> - The issue is specific to the reviewed project and should be corrected within that project. It does not necessarily indicate a problem with the quality system itself.
  - </t>
    </r>
    <r>
      <rPr>
        <b/>
        <sz val="11"/>
        <rFont val="Calibri"/>
        <family val="2"/>
        <scheme val="minor"/>
      </rPr>
      <t>Standard</t>
    </r>
    <r>
      <rPr>
        <sz val="11"/>
        <rFont val="Calibri"/>
        <family val="2"/>
        <scheme val="minor"/>
      </rPr>
      <t xml:space="preserve"> / </t>
    </r>
    <r>
      <rPr>
        <b/>
        <sz val="11"/>
        <rFont val="Calibri"/>
        <family val="2"/>
        <scheme val="minor"/>
      </rPr>
      <t>Process</t>
    </r>
    <r>
      <rPr>
        <sz val="11"/>
        <rFont val="Calibri"/>
        <family val="2"/>
        <scheme val="minor"/>
      </rPr>
      <t xml:space="preserve"> - The finding indicates that an SOP, standard, process requirement, or workflow may need clarification, revision, or improvement.
   - </t>
    </r>
    <r>
      <rPr>
        <b/>
        <sz val="11"/>
        <rFont val="Calibri"/>
        <family val="2"/>
        <scheme val="minor"/>
      </rPr>
      <t>Tool</t>
    </r>
    <r>
      <rPr>
        <sz val="11"/>
        <rFont val="Calibri"/>
        <family val="2"/>
        <scheme val="minor"/>
      </rPr>
      <t xml:space="preserve"> / </t>
    </r>
    <r>
      <rPr>
        <b/>
        <sz val="11"/>
        <rFont val="Calibri"/>
        <family val="2"/>
        <scheme val="minor"/>
      </rPr>
      <t>Template</t>
    </r>
    <r>
      <rPr>
        <sz val="11"/>
        <rFont val="Calibri"/>
        <family val="2"/>
        <scheme val="minor"/>
      </rPr>
      <t xml:space="preserve"> - The action involves changing or improving a standard tool, workbook, template, form, checklist, or other execution aid.
  - </t>
    </r>
    <r>
      <rPr>
        <b/>
        <sz val="11"/>
        <rFont val="Calibri"/>
        <family val="2"/>
        <scheme val="minor"/>
      </rPr>
      <t>Training</t>
    </r>
    <r>
      <rPr>
        <sz val="11"/>
        <rFont val="Calibri"/>
        <family val="2"/>
        <scheme val="minor"/>
      </rPr>
      <t xml:space="preserve"> / </t>
    </r>
    <r>
      <rPr>
        <b/>
        <sz val="11"/>
        <rFont val="Calibri"/>
        <family val="2"/>
        <scheme val="minor"/>
      </rPr>
      <t>Communication</t>
    </r>
    <r>
      <rPr>
        <sz val="11"/>
        <rFont val="Calibri"/>
        <family val="2"/>
        <scheme val="minor"/>
      </rPr>
      <t xml:space="preserve"> - The response should primarily address understanding or awareness through training, coaching, guidance, or communication.
  - </t>
    </r>
    <r>
      <rPr>
        <b/>
        <sz val="11"/>
        <rFont val="Calibri"/>
        <family val="2"/>
        <scheme val="minor"/>
      </rPr>
      <t xml:space="preserve">Governance </t>
    </r>
    <r>
      <rPr>
        <sz val="11"/>
        <rFont val="Calibri"/>
        <family val="2"/>
        <scheme val="minor"/>
      </rPr>
      <t xml:space="preserve">	- The issue requires improved oversight, accountability, enforcement, management review, or another governance mechanism rather than simply changing the written standard.
  - </t>
    </r>
    <r>
      <rPr>
        <b/>
        <sz val="11"/>
        <rFont val="Calibri"/>
        <family val="2"/>
        <scheme val="minor"/>
      </rPr>
      <t>Further Evaluation</t>
    </r>
    <r>
      <rPr>
        <sz val="11"/>
        <rFont val="Calibri"/>
        <family val="2"/>
        <scheme val="minor"/>
      </rPr>
      <t xml:space="preserve"> - There is enough evidence to warrant follow-up, but it is not yet clear what type of improvement is appropriate. Additional analysis is needed before deciding the action.</t>
    </r>
  </si>
  <si>
    <t>Percentage of planned Initial review instances marked Completed.</t>
  </si>
  <si>
    <t>Completion Rate for Initial Reviews</t>
  </si>
  <si>
    <t>Average Initial Review Time (Hours)</t>
  </si>
  <si>
    <t>System-Related Gap Rate</t>
  </si>
  <si>
    <t>Average reviewer time for completed Initial Reviews with recorded review time.</t>
  </si>
  <si>
    <t>Initial Review Time (Hours)</t>
  </si>
  <si>
    <r>
      <t xml:space="preserve">Select </t>
    </r>
    <r>
      <rPr>
        <b/>
        <sz val="11"/>
        <rFont val="Calibri"/>
        <family val="2"/>
        <scheme val="minor"/>
      </rPr>
      <t>3 - Meets Expectation</t>
    </r>
    <r>
      <rPr>
        <sz val="11"/>
        <rFont val="Calibri"/>
        <family val="2"/>
        <scheme val="minor"/>
      </rPr>
      <t xml:space="preserve">, </t>
    </r>
    <r>
      <rPr>
        <b/>
        <sz val="11"/>
        <rFont val="Calibri"/>
        <family val="2"/>
        <scheme val="minor"/>
      </rPr>
      <t>2 - Partially Meets Expectation</t>
    </r>
    <r>
      <rPr>
        <sz val="11"/>
        <rFont val="Calibri"/>
        <family val="2"/>
        <scheme val="minor"/>
      </rPr>
      <t xml:space="preserve">, </t>
    </r>
    <r>
      <rPr>
        <b/>
        <sz val="11"/>
        <rFont val="Calibri"/>
        <family val="2"/>
        <scheme val="minor"/>
      </rPr>
      <t>1 - Does Not Meet Expectation</t>
    </r>
    <r>
      <rPr>
        <sz val="11"/>
        <rFont val="Calibri"/>
        <family val="2"/>
        <scheme val="minor"/>
      </rPr>
      <t xml:space="preserve">, </t>
    </r>
    <r>
      <rPr>
        <b/>
        <sz val="11"/>
        <rFont val="Calibri"/>
        <family val="2"/>
        <scheme val="minor"/>
      </rPr>
      <t xml:space="preserve">N/A - Not Applicable </t>
    </r>
    <r>
      <rPr>
        <sz val="11"/>
        <rFont val="Calibri"/>
        <family val="2"/>
        <scheme val="minor"/>
      </rPr>
      <t xml:space="preserve">or </t>
    </r>
    <r>
      <rPr>
        <b/>
        <sz val="11"/>
        <rFont val="Calibri"/>
        <family val="2"/>
        <scheme val="minor"/>
      </rPr>
      <t>UTD - Unable To Determine</t>
    </r>
    <r>
      <rPr>
        <sz val="11"/>
        <rFont val="Calibri"/>
        <family val="2"/>
        <scheme val="minor"/>
      </rPr>
      <t xml:space="preserve"> based on the Scoring Guide.</t>
    </r>
  </si>
  <si>
    <t>Select Yes when a Follow-Up Review is needed to verify that the underlying control or expectation has been satisfactorily addressed. A Follow-Up Review is not required solely because an action was created or completed. Follow-Up Reviews are targeted to the specific gap(s) or control(s) requiring verification rather than repeating the full project review.</t>
  </si>
  <si>
    <t>An Action record is required for every Review Entry result of 1 — Does Not Meet Expectation or 2 — Partially Meets Expectation. Multiple related gaps may be addressed through a single Action when appropriate, provided each gap remains clearly traceable to that Action.</t>
  </si>
  <si>
    <t>Required for every Action. Enter the agreed target date for completing the action.</t>
  </si>
  <si>
    <t>Required for every Action. Select the current status of the action using the available dropdown values and keep it current through closure.</t>
  </si>
  <si>
    <t>Required before an Action is closed. Identify the evidence or closure note demonstrating what was completed and that the issue was addressed. Include the applicable record or location where appropriate.</t>
  </si>
  <si>
    <t>Required for every Action. Identify the person accountable for completing or coordinating the action. Project-specific corrective actions are normally owned by the Project Manager; system-level actions should be assigned to the appropriate functional or quality-system owner.</t>
  </si>
  <si>
    <t>Percentage of applicable Initial Review questions scored 3 — Meets Expectation.</t>
  </si>
  <si>
    <t>Percentage of applicable Initial Review questions with incomplete, missing, inaccessible, misfiled, or not-maintained evidence. Excludes N/A and UTD records.</t>
  </si>
  <si>
    <t>Percentage of applicable Initial Review questions supported by acceptable alternate evidence. Excludes N/A and UTD records.</t>
  </si>
  <si>
    <t>Percentage of applicable Initial Review questions scored 1 or 2.</t>
  </si>
  <si>
    <t>Sold Labor Revenue</t>
  </si>
  <si>
    <t>Sold Labor Margin %</t>
  </si>
  <si>
    <t>Labor Margin Variance</t>
  </si>
  <si>
    <t>Labor Margin at Review %</t>
  </si>
  <si>
    <t>Provides a simple measure of project labor size to support comparison of QSR results across projects of different scale.
 - Labor revenue included in the approved project estimate at the time the project was sold.
 - Enter the original sold labor revenue from the approved estimate/proposal baseline. Do not update for later changes unless the original commercial baseline itself was formally revised.</t>
  </si>
  <si>
    <t>Establishes the original labor profitability expectation at the time the project was sold for comparison to subsequent performance.
 - Labor gross margin percentage reflected in the approved estimate at the time the project was sold.
 - Enter the labor margin percentage from the original approved estimate/proposal baseline. Use the same underlying source as Sold Labor Revenue.</t>
  </si>
  <si>
    <t>Captures the project’s labor margin performance at the time of the review to provide financial-performance context for the QSR results.
 - The project’s current forecast labor margin at the time of the QSR, or final actual labor margin if the project is complete.
 - For an active project, use the current forecast/EAC labor margin available at the time of review. For a completed project, use the final actual labor margin.</t>
  </si>
  <si>
    <t>Shows the degree of labor margin improvement or erosion relative to the sold labor margin, enabling comparison of financial performance across reviewed projects.
 - Difference between the project’s labor margin at review and its sold labor margin.
 - Calculate as: Labor Margin at Review % – Sold Labor Margin %. A negative result indicates margin erosion; a positive result indicates improvement.</t>
  </si>
  <si>
    <t>Individual Adherence Gap</t>
  </si>
  <si>
    <t>List Worksheet</t>
  </si>
  <si>
    <t>List - Primary Root Cause</t>
  </si>
  <si>
    <t xml:space="preserve">The applicable standard exists, but its requirements, instructions, or expected outcomes are ambiguous, incomplete, conflicting, or insufficiently specific to support consistent execution. Correcting the standard should reduce recurrence. </t>
  </si>
  <si>
    <t xml:space="preserve">The prescribed tool, template, or workflow materially makes proper execution difficult, inefficient, duplicative, or prone to error. Correcting the enabling mechanism should make compliance easier and more reliable. </t>
  </si>
  <si>
    <t xml:space="preserve">The standard exists and is sufficiently clear, but the associate was not adequately trained or prepared to execute it correctly. Correcting the knowledge or skill gap should reduce recurrence. </t>
  </si>
  <si>
    <t xml:space="preserve">Management expectations, oversight, accountability, reinforcement, escalation, or follow-through were insufficient to drive consistent execution of the standard. This identifies a management-system problem rather than an isolated individual failure. </t>
  </si>
  <si>
    <t xml:space="preserve">The standard was sufficiently clear, appropriate training and tools were available, reasonable capacity existed, and management expectations were established, but the associate nevertheless did not perform the required activity. This is the residual category for an individual execution/accountability failure after other systemic causes have been reasonably ruled out. </t>
  </si>
  <si>
    <t>Guidance</t>
  </si>
  <si>
    <r>
      <t xml:space="preserve">Was the standard itself sufficiently clear?
 - No → </t>
    </r>
    <r>
      <rPr>
        <b/>
        <sz val="11"/>
        <rFont val="Calibri"/>
        <family val="2"/>
      </rPr>
      <t>Standard Unclear</t>
    </r>
    <r>
      <rPr>
        <sz val="11"/>
        <rFont val="Calibri"/>
        <family val="2"/>
      </rPr>
      <t xml:space="preserve">
Did the tool/template/workflow enable reasonable execution?
 - No → </t>
    </r>
    <r>
      <rPr>
        <b/>
        <sz val="11"/>
        <rFont val="Calibri"/>
        <family val="2"/>
      </rPr>
      <t>Tool / Template Friction</t>
    </r>
    <r>
      <rPr>
        <sz val="11"/>
        <rFont val="Calibri"/>
        <family val="2"/>
      </rPr>
      <t xml:space="preserve">
Was the person adequately trained to perform it?
 - No → </t>
    </r>
    <r>
      <rPr>
        <b/>
        <sz val="11"/>
        <rFont val="Calibri"/>
        <family val="2"/>
      </rPr>
      <t>Training Gap</t>
    </r>
    <r>
      <rPr>
        <sz val="11"/>
        <rFont val="Calibri"/>
        <family val="2"/>
      </rPr>
      <t xml:space="preserve">
Were expectations, accountability, and management reinforcement adequate?
 - No → </t>
    </r>
    <r>
      <rPr>
        <b/>
        <sz val="11"/>
        <rFont val="Calibri"/>
        <family val="2"/>
      </rPr>
      <t>Governance / Enforcement Gap</t>
    </r>
    <r>
      <rPr>
        <sz val="11"/>
        <rFont val="Calibri"/>
        <family val="2"/>
      </rPr>
      <t xml:space="preserve">
If all of the above were adequate, did the person still fail to execute?
 - Yes → </t>
    </r>
    <r>
      <rPr>
        <b/>
        <sz val="11"/>
        <rFont val="Calibri"/>
        <family val="2"/>
      </rPr>
      <t>Individual Adherence Gap</t>
    </r>
  </si>
  <si>
    <t>Revision</t>
  </si>
  <si>
    <t>No.</t>
  </si>
  <si>
    <t>Initial release.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</si>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</sst>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164" formatCode="yyyy\-mm\-dd"/>
    <numFmt numFmtId="165" formatCode="0.0%"/>
    <numFmt numFmtId="166" formatCode="[$-409]d\-mmm\-yyyy;@"/>
  </numFmts>
  <fonts count="20">
    <font>
      <sz val="11"/>
      <name val="Carlito"/>
    </font>
    <font>
      <b/>
      <sz val="12"/>
      <color rgb="FFFFFFFF"/>
      <name val="Calibri"/>
      <family val="2"/>
    </font>
    <font>
      <sz val="11"/>
      <name val="Calibri"/>
      <family val="2"/>
    </font>
    <font>
      <b/>
      <sz val="11"/>
      <name val="Calibri"/>
      <family val="2"/>
    </font>
    <font>
      <b/>
      <sz val="11"/>
      <color rgb="FFFFFFFF"/>
      <name val="Calibri"/>
      <family val="2"/>
    </font>
    <font>
      <b/>
      <sz val="14"/>
      <color rgb="FFFFFFFF"/>
      <name val="Calibri"/>
      <family val="2"/>
    </font>
    <font>
      <sz val="11"/>
      <color rgb="FF000000"/>
      <name val="Calibri"/>
      <family val="2"/>
    </font>
    <font>
      <sz val="12"/>
      <name val="Calibri"/>
      <family val="2"/>
    </font>
    <font>
      <b/>
      <sz val="11"/>
      <name val="Carlito"/>
    </font>
    <font>
      <b/>
      <sz val="11"/>
      <name val="Calibri"/>
      <family val="2"/>
      <scheme val="minor"/>
    </font>
    <font>
      <sz val="11"/>
      <name val="Calibri"/>
      <family val="2"/>
      <scheme val="minor"/>
    </font>
    <font>
      <b/>
      <sz val="11"/>
      <color theme="0"/>
      <name val="Calibri"/>
      <family val="2"/>
    </font>
    <font>
      <sz val="11"/>
      <color theme="0"/>
      <name val="Calibri"/>
      <family val="2"/>
    </font>
    <font>
      <sz val="10"/>
      <name val="Calibri"/>
      <family val="2"/>
      <scheme val="minor"/>
    </font>
    <font>
      <b/>
      <sz val="11"/>
      <color theme="0"/>
      <name val="Carlito"/>
    </font>
    <font>
      <b/>
      <sz val="9"/>
      <name val="Carlito"/>
    </font>
    <font>
      <sz val="9"/>
      <name val="Carlito"/>
    </font>
    <font>
      <sz val="9"/>
      <color indexed="81"/>
      <name val="Tahoma"/>
      <family val="2"/>
    </font>
    <font>
      <b/>
      <sz val="9"/>
      <color indexed="81"/>
      <name val="Tahoma"/>
      <family val="2"/>
    </font>
    <font>
      <b/>
      <sz val="11"/>
      <color theme="0"/>
      <name val="Calibri"/>
      <family val="2"/>
      <scheme val="minor"/>
    </font>
  </fonts>
  <fills count="8">
    <fill>
      <patternFill patternType="none"/>
    </fill>
    <fill>
      <patternFill patternType="gray125"/>
    </fill>
    <fill>
      <patternFill patternType="solid">
        <fgColor rgb="FFFFFFFF"/>
      </patternFill>
    </fill>
    <fill>
      <patternFill patternType="solid">
        <fgColor theme="4" tint="-0.249977111117893"/>
        <bgColor indexed="65"/>
      </patternFill>
    </fill>
    <fill>
      <patternFill patternType="solid">
        <fgColor rgb="FF14566F"/>
      </patternFill>
    </fill>
    <fill>
      <patternFill patternType="solid">
        <fgColor theme="4" tint="-0.249977111117893"/>
        <bgColor indexed="64"/>
      </patternFill>
    </fill>
    <fill>
      <patternFill patternType="solid">
        <fgColor theme="3" tint="0.89999084444715716"/>
        <bgColor indexed="64"/>
      </patternFill>
    </fill>
    <fill>
      <patternFill patternType="solid">
        <fgColor rgb="FF00206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1">
    <xf numFmtId="0" fontId="0" fillId="0" borderId="0"/>
  </cellStyleXfs>
  <cellXfs count="87">
    <xf numFmtId="0" fontId="0" fillId="0" borderId="0" xfId="0"/>
    <xf numFmtId="0" fontId="2" fillId="0" borderId="0" xfId="0" applyFont="1"/>
    <xf numFmtId="0" fontId="3" fillId="0" borderId="0" xfId="0" applyFont="1" applyAlignment="1">
      <alignment vertical="top" wrapText="1"/>
    </xf>
    <xf numFmtId="0" fontId="2" fillId="0" borderId="0" xfId="0" applyFont="1" applyAlignment="1">
      <alignment vertical="top" wrapText="1"/>
    </xf>
    <xf numFmtId="0" fontId="7" fillId="0" borderId="0" xfId="0" applyFont="1"/>
    <xf numFmtId="0" fontId="2" fillId="0" borderId="0" xfId="0" applyFont="1" applyAlignment="1">
      <alignment wrapText="1"/>
    </xf>
    <xf numFmtId="164" fontId="2" fillId="0" borderId="0" xfId="0" applyNumberFormat="1" applyFont="1" applyAlignment="1">
      <alignment wrapText="1"/>
    </xf>
    <xf numFmtId="0" fontId="6" fillId="2" borderId="0" xfId="0" applyFont="1" applyFill="1" applyAlignment="1">
      <alignment vertical="top" wrapText="1"/>
    </xf>
    <xf numFmtId="164" fontId="6" fillId="2" borderId="0" xfId="0" applyNumberFormat="1" applyFont="1" applyFill="1" applyAlignment="1">
      <alignment vertical="top" wrapText="1"/>
    </xf>
    <xf numFmtId="0" fontId="2" fillId="0" borderId="0" xfId="0" applyFont="1" applyAlignment="1">
      <alignment horizontal="center" vertical="top" wrapText="1"/>
    </xf>
    <xf numFmtId="0" fontId="6" fillId="2" borderId="0" xfId="0" applyFont="1" applyFill="1" applyAlignment="1">
      <alignment horizontal="center" vertical="top" wrapText="1"/>
    </xf>
    <xf numFmtId="0" fontId="2" fillId="0" borderId="0" xfId="0" applyFont="1" applyAlignment="1">
      <alignment horizontal="center"/>
    </xf>
    <xf numFmtId="0" fontId="1" fillId="3" borderId="0" xfId="0" applyFont="1" applyFill="1" applyAlignment="1">
      <alignment horizontal="center" vertical="center" wrapText="1"/>
    </xf>
    <xf numFmtId="0" fontId="2" fillId="0" borderId="0" xfId="0" applyFont="1" applyAlignment="1">
      <alignment horizontal="left" vertical="top" wrapText="1"/>
    </xf>
    <xf numFmtId="0" fontId="6" fillId="2" borderId="0" xfId="0" applyFont="1" applyFill="1" applyAlignment="1">
      <alignment horizontal="left" vertical="top" wrapText="1"/>
    </xf>
    <xf numFmtId="0" fontId="2" fillId="0" borderId="0" xfId="0" applyFont="1" applyAlignment="1">
      <alignment horizontal="left"/>
    </xf>
    <xf numFmtId="0" fontId="1" fillId="3" borderId="0" xfId="0" applyFont="1" applyFill="1" applyAlignment="1">
      <alignment horizontal="center" vertical="center"/>
    </xf>
    <xf numFmtId="0" fontId="5" fillId="3" borderId="0" xfId="0" applyFont="1" applyFill="1" applyAlignment="1">
      <alignment horizontal="center" vertical="center" wrapText="1"/>
    </xf>
    <xf numFmtId="0" fontId="4" fillId="3" borderId="0" xfId="0" applyFont="1" applyFill="1"/>
    <xf numFmtId="0" fontId="2" fillId="0" borderId="0" xfId="0" applyFont="1" applyAlignment="1">
      <alignment vertical="top"/>
    </xf>
    <xf numFmtId="0" fontId="6" fillId="0" borderId="0" xfId="0" applyFont="1" applyAlignment="1">
      <alignment vertical="top"/>
    </xf>
    <xf numFmtId="0" fontId="2" fillId="0" borderId="0" xfId="0" applyFont="1" applyAlignment="1">
      <alignment horizontal="center" vertical="top"/>
    </xf>
    <xf numFmtId="165" fontId="2" fillId="0" borderId="0" xfId="0" applyNumberFormat="1" applyFont="1" applyAlignment="1">
      <alignment horizontal="center" vertical="top"/>
    </xf>
    <xf numFmtId="0" fontId="5" fillId="4" borderId="0" xfId="0" applyFont="1" applyFill="1" applyAlignment="1">
      <alignment horizontal="center" vertical="center" wrapText="1"/>
    </xf>
    <xf numFmtId="2" fontId="5" fillId="4" borderId="0" xfId="0" applyNumberFormat="1" applyFont="1" applyFill="1" applyAlignment="1">
      <alignment horizontal="center" vertical="center" wrapText="1"/>
    </xf>
    <xf numFmtId="0" fontId="11" fillId="5" borderId="0" xfId="0" applyFont="1" applyFill="1" applyAlignment="1">
      <alignment vertical="top" wrapText="1"/>
    </xf>
    <xf numFmtId="0" fontId="12" fillId="5" borderId="0" xfId="0" applyFont="1" applyFill="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10" fillId="0" borderId="0" xfId="0" applyFont="1"/>
    <xf numFmtId="0" fontId="2" fillId="0" borderId="1" xfId="0" applyFont="1" applyBorder="1" applyAlignment="1">
      <alignment vertical="top" wrapText="1"/>
    </xf>
    <xf numFmtId="165" fontId="2" fillId="0" borderId="1" xfId="0" applyNumberFormat="1" applyFont="1" applyBorder="1" applyAlignment="1">
      <alignment horizontal="center" vertical="top"/>
    </xf>
    <xf numFmtId="0" fontId="6" fillId="0" borderId="1" xfId="0" applyFont="1" applyBorder="1" applyAlignment="1">
      <alignment vertical="top" wrapText="1"/>
    </xf>
    <xf numFmtId="165" fontId="6" fillId="0" borderId="1" xfId="0" applyNumberFormat="1" applyFont="1" applyBorder="1" applyAlignment="1">
      <alignment horizontal="center" vertical="top"/>
    </xf>
    <xf numFmtId="2" fontId="2" fillId="0" borderId="1" xfId="0" applyNumberFormat="1" applyFont="1" applyBorder="1" applyAlignment="1">
      <alignment horizontal="center" vertical="top"/>
    </xf>
    <xf numFmtId="1" fontId="2" fillId="0" borderId="1" xfId="0" applyNumberFormat="1" applyFont="1" applyBorder="1" applyAlignment="1">
      <alignment horizontal="center" vertical="top"/>
    </xf>
    <xf numFmtId="0" fontId="2" fillId="0" borderId="1" xfId="0" applyFont="1" applyBorder="1" applyAlignment="1">
      <alignment wrapText="1"/>
    </xf>
    <xf numFmtId="0" fontId="2" fillId="0" borderId="1" xfId="0" applyFont="1" applyBorder="1"/>
    <xf numFmtId="1" fontId="2" fillId="0" borderId="1" xfId="0" applyNumberFormat="1" applyFont="1" applyBorder="1" applyAlignment="1">
      <alignment horizontal="center"/>
    </xf>
    <xf numFmtId="165" fontId="2" fillId="0" borderId="1" xfId="0" applyNumberFormat="1" applyFont="1" applyBorder="1" applyAlignment="1">
      <alignment horizontal="center"/>
    </xf>
    <xf numFmtId="0" fontId="2" fillId="0" borderId="1" xfId="0" applyFont="1" applyBorder="1" applyAlignment="1">
      <alignment vertical="top"/>
    </xf>
    <xf numFmtId="2" fontId="2" fillId="0" borderId="1" xfId="0" applyNumberFormat="1" applyFont="1" applyBorder="1" applyAlignment="1">
      <alignment horizontal="center"/>
    </xf>
    <xf numFmtId="0" fontId="1" fillId="0" borderId="0" xfId="0" applyFont="1" applyAlignment="1" applyProtection="1">
      <alignment vertical="center" wrapText="1"/>
      <protection locked="0"/>
    </xf>
    <xf numFmtId="0" fontId="7" fillId="0" borderId="0" xfId="0" applyFont="1" applyAlignment="1" applyProtection="1">
      <alignment wrapText="1"/>
      <protection locked="0"/>
    </xf>
    <xf numFmtId="0" fontId="2" fillId="0" borderId="0" xfId="0" applyFont="1" applyAlignment="1" applyProtection="1">
      <alignment wrapText="1"/>
      <protection locked="0"/>
    </xf>
    <xf numFmtId="0" fontId="2" fillId="0" borderId="0" xfId="0" applyFont="1" applyAlignment="1" applyProtection="1">
      <alignment horizontal="center" wrapText="1"/>
      <protection locked="0"/>
    </xf>
    <xf numFmtId="164" fontId="2" fillId="0" borderId="0" xfId="0" applyNumberFormat="1" applyFont="1" applyAlignment="1" applyProtection="1">
      <alignment wrapText="1"/>
      <protection locked="0"/>
    </xf>
    <xf numFmtId="0" fontId="2" fillId="0" borderId="0" xfId="0" applyFont="1" applyProtection="1">
      <protection locked="0"/>
    </xf>
    <xf numFmtId="0" fontId="6" fillId="0" borderId="0" xfId="0" applyFont="1" applyAlignment="1" applyProtection="1">
      <alignment vertical="top" wrapText="1"/>
      <protection locked="0"/>
    </xf>
    <xf numFmtId="0" fontId="6" fillId="0" borderId="0" xfId="0" applyFont="1" applyAlignment="1" applyProtection="1">
      <alignment horizontal="center" vertical="top" wrapText="1"/>
      <protection locked="0"/>
    </xf>
    <xf numFmtId="164" fontId="6" fillId="0" borderId="0" xfId="0" applyNumberFormat="1" applyFont="1" applyAlignment="1" applyProtection="1">
      <alignment vertical="top" wrapText="1"/>
      <protection locked="0"/>
    </xf>
    <xf numFmtId="0" fontId="4" fillId="0" borderId="0" xfId="0" applyFont="1" applyAlignment="1" applyProtection="1">
      <alignment horizontal="center" vertical="center" wrapText="1"/>
      <protection locked="0"/>
    </xf>
    <xf numFmtId="0" fontId="2" fillId="0" borderId="0" xfId="0" applyFont="1" applyAlignment="1" applyProtection="1">
      <alignment horizontal="center"/>
      <protection locked="0"/>
    </xf>
    <xf numFmtId="0" fontId="2" fillId="0" borderId="0" xfId="0" applyFont="1" applyAlignment="1" applyProtection="1">
      <alignment vertical="top" wrapText="1"/>
      <protection locked="0"/>
    </xf>
    <xf numFmtId="0" fontId="2" fillId="0" borderId="0" xfId="0" applyFont="1" applyAlignment="1" applyProtection="1">
      <alignment horizontal="center" vertical="top" wrapText="1"/>
      <protection locked="0"/>
    </xf>
    <xf numFmtId="0" fontId="14" fillId="7" borderId="0" xfId="0" applyFont="1" applyFill="1" applyAlignment="1">
      <alignment horizontal="center" vertical="center"/>
    </xf>
    <xf numFmtId="0" fontId="14" fillId="7" borderId="0" xfId="0" applyFont="1" applyFill="1" applyAlignment="1">
      <alignment horizontal="center" vertical="center" wrapText="1"/>
    </xf>
    <xf numFmtId="0" fontId="8" fillId="0" borderId="1" xfId="0" applyFont="1" applyBorder="1" applyAlignment="1">
      <alignment vertical="center"/>
    </xf>
    <xf numFmtId="0" fontId="0" fillId="0" borderId="1" xfId="0" applyBorder="1" applyAlignment="1">
      <alignment vertical="center" wrapText="1"/>
    </xf>
    <xf numFmtId="0" fontId="9" fillId="0" borderId="1" xfId="0" applyFont="1" applyBorder="1" applyAlignment="1">
      <alignment vertical="top" wrapText="1"/>
    </xf>
    <xf numFmtId="0" fontId="9" fillId="6" borderId="1" xfId="0" applyFont="1" applyFill="1" applyBorder="1" applyAlignment="1">
      <alignment horizontal="center" vertical="top" wrapText="1"/>
    </xf>
    <xf numFmtId="0" fontId="10" fillId="0" borderId="1" xfId="0" applyFont="1" applyBorder="1" applyAlignment="1">
      <alignment vertical="top" wrapText="1"/>
    </xf>
    <xf numFmtId="0" fontId="15" fillId="0" borderId="0" xfId="0" applyFont="1" applyAlignment="1">
      <alignment horizontal="center" vertical="top"/>
    </xf>
    <xf numFmtId="0" fontId="15" fillId="0" borderId="0" xfId="0" applyFont="1" applyAlignment="1">
      <alignment vertical="top"/>
    </xf>
    <xf numFmtId="0" fontId="16" fillId="0" borderId="0" xfId="0" applyFont="1" applyAlignment="1">
      <alignment vertical="top"/>
    </xf>
    <xf numFmtId="0" fontId="10" fillId="0" borderId="6" xfId="0" applyFont="1" applyBorder="1" applyAlignment="1">
      <alignment vertical="top"/>
    </xf>
    <xf numFmtId="0" fontId="10" fillId="0" borderId="7" xfId="0" applyFont="1" applyBorder="1" applyAlignment="1">
      <alignment vertical="top"/>
    </xf>
    <xf numFmtId="0" fontId="9" fillId="0" borderId="0" xfId="0" applyFont="1" applyAlignment="1">
      <alignment horizontal="center"/>
    </xf>
    <xf numFmtId="0" fontId="9" fillId="0" borderId="0" xfId="0" applyFont="1" applyAlignment="1">
      <alignment horizontal="left"/>
    </xf>
    <xf numFmtId="165" fontId="5" fillId="4" borderId="0" xfId="0" applyNumberFormat="1" applyFont="1" applyFill="1" applyAlignment="1">
      <alignment horizontal="center" vertical="center"/>
    </xf>
    <xf numFmtId="42" fontId="2" fillId="0" borderId="0" xfId="0" applyNumberFormat="1" applyFont="1" applyAlignment="1" applyProtection="1">
      <alignment wrapText="1"/>
      <protection locked="0"/>
    </xf>
    <xf numFmtId="165" fontId="2" fillId="0" borderId="0" xfId="0" applyNumberFormat="1" applyFont="1" applyAlignment="1" applyProtection="1">
      <alignment horizontal="center" wrapText="1"/>
      <protection locked="0"/>
    </xf>
    <xf numFmtId="0" fontId="10" fillId="0" borderId="0" xfId="0" applyFont="1" applyAlignment="1">
      <alignment horizontal="center"/>
    </xf>
    <xf numFmtId="0" fontId="19" fillId="7" borderId="0" xfId="0" applyFont="1" applyFill="1" applyAlignment="1">
      <alignment horizontal="center" vertical="center"/>
    </xf>
    <xf numFmtId="0" fontId="19" fillId="7" borderId="0" xfId="0" applyFont="1" applyFill="1" applyAlignment="1">
      <alignment horizontal="center" vertical="center" wrapText="1"/>
    </xf>
    <xf numFmtId="0" fontId="10" fillId="0" borderId="1" xfId="0" applyFont="1" applyBorder="1" applyAlignment="1">
      <alignment vertical="center" wrapText="1"/>
    </xf>
    <xf numFmtId="166" fontId="19" fillId="7" borderId="0" xfId="0" applyNumberFormat="1" applyFont="1" applyFill="1" applyAlignment="1">
      <alignment horizontal="center" vertical="center"/>
    </xf>
    <xf numFmtId="166" fontId="10" fillId="0" borderId="0" xfId="0" applyNumberFormat="1" applyFont="1" applyAlignment="1">
      <alignment horizontal="center"/>
    </xf>
    <xf numFmtId="0" fontId="10" fillId="0" borderId="1" xfId="0" applyFont="1" applyBorder="1" applyAlignment="1">
      <alignment horizontal="center" vertical="center"/>
    </xf>
    <xf numFmtId="166" fontId="10" fillId="0" borderId="1" xfId="0" applyNumberFormat="1" applyFont="1" applyBorder="1" applyAlignment="1">
      <alignment horizontal="center" vertical="center"/>
    </xf>
    <xf numFmtId="0" fontId="10" fillId="0" borderId="2" xfId="0" applyFont="1" applyBorder="1" applyAlignment="1">
      <alignment vertical="top" wrapText="1"/>
    </xf>
    <xf numFmtId="0" fontId="10" fillId="0" borderId="3" xfId="0" applyFont="1" applyBorder="1" applyAlignment="1">
      <alignment vertical="top" wrapText="1"/>
    </xf>
    <xf numFmtId="0" fontId="2" fillId="0" borderId="8" xfId="0" applyFont="1" applyBorder="1" applyAlignment="1">
      <alignment vertical="top" wrapText="1"/>
    </xf>
    <xf numFmtId="0" fontId="10" fillId="0" borderId="4" xfId="0" applyFont="1" applyBorder="1" applyAlignment="1">
      <alignment vertical="top" wrapText="1"/>
    </xf>
    <xf numFmtId="0" fontId="10" fillId="0" borderId="5" xfId="0" applyFont="1" applyBorder="1" applyAlignment="1">
      <alignment vertical="top" wrapText="1"/>
    </xf>
    <xf numFmtId="0" fontId="10" fillId="0" borderId="6" xfId="0" applyFont="1" applyBorder="1" applyAlignment="1">
      <alignment vertical="top" wrapText="1"/>
    </xf>
    <xf numFmtId="0" fontId="10" fillId="0" borderId="7" xfId="0" applyFont="1" applyBorder="1" applyAlignment="1">
      <alignment vertical="top" wrapText="1"/>
    </xf>
  </cellXfs>
  <cellStyles count="1">
    <cellStyle name="Normal" xfId="0" builtinId="0"/>
  </cellStyles>
  <dxfs count="78">
    <dxf>
      <fill>
        <patternFill>
          <bgColor rgb="FFD9D2E9"/>
        </patternFill>
      </fill>
    </dxf>
    <dxf>
      <fill>
        <patternFill>
          <bgColor rgb="FFEAF2F8"/>
        </patternFill>
      </fill>
    </dxf>
    <dxf>
      <fill>
        <patternFill>
          <bgColor rgb="FFF4CCCC"/>
        </patternFill>
      </fill>
    </dxf>
    <dxf>
      <fill>
        <patternFill>
          <bgColor rgb="FFFFF2CC"/>
        </patternFill>
      </fill>
    </dxf>
    <dxf>
      <fill>
        <patternFill>
          <bgColor rgb="FFE2F0D9"/>
        </patternFill>
      </fill>
    </dxf>
    <dxf>
      <fill>
        <patternFill>
          <bgColor rgb="FFD9D2E9"/>
        </patternFill>
      </fill>
    </dxf>
    <dxf>
      <fill>
        <patternFill>
          <bgColor rgb="FFEAF2F8"/>
        </patternFill>
      </fill>
    </dxf>
    <dxf>
      <fill>
        <patternFill>
          <bgColor rgb="FFF4CCCC"/>
        </patternFill>
      </fill>
    </dxf>
    <dxf>
      <fill>
        <patternFill>
          <bgColor rgb="FFFFF2CC"/>
        </patternFill>
      </fill>
    </dxf>
    <dxf>
      <fill>
        <patternFill>
          <bgColor rgb="FFE2F0D9"/>
        </patternFill>
      </fill>
    </dxf>
    <dxf>
      <fill>
        <patternFill>
          <bgColor rgb="FFD9D2E9"/>
        </patternFill>
      </fill>
    </dxf>
    <dxf>
      <fill>
        <patternFill>
          <bgColor rgb="FFEAF2F8"/>
        </patternFill>
      </fill>
    </dxf>
    <dxf>
      <fill>
        <patternFill>
          <bgColor rgb="FFF4CCCC"/>
        </patternFill>
      </fill>
    </dxf>
    <dxf>
      <fill>
        <patternFill>
          <bgColor rgb="FFFFF2CC"/>
        </patternFill>
      </fill>
    </dxf>
    <dxf>
      <fill>
        <patternFill>
          <bgColor rgb="FFE2F0D9"/>
        </patternFill>
      </fill>
    </dxf>
    <dxf>
      <fill>
        <patternFill>
          <bgColor rgb="FFD9D2E9"/>
        </patternFill>
      </fill>
    </dxf>
    <dxf>
      <fill>
        <patternFill>
          <bgColor rgb="FFEAF2F8"/>
        </patternFill>
      </fill>
    </dxf>
    <dxf>
      <fill>
        <patternFill>
          <bgColor rgb="FFF4CCCC"/>
        </patternFill>
      </fill>
    </dxf>
    <dxf>
      <fill>
        <patternFill>
          <bgColor rgb="FFFFF2CC"/>
        </patternFill>
      </fill>
    </dxf>
    <dxf>
      <fill>
        <patternFill>
          <bgColor rgb="FFE2F0D9"/>
        </patternFill>
      </fill>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1" hidden="0"/>
    </dxf>
    <dxf>
      <protection locked="1" hidden="0"/>
    </dxf>
    <dxf>
      <protection locked="1" hidden="0"/>
    </dxf>
    <dxf>
      <protection locked="1" hidden="0"/>
    </dxf>
    <dxf>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1" hidden="0"/>
    </dxf>
    <dxf>
      <protection locked="1" hidden="0"/>
    </dxf>
    <dxf>
      <protection locked="1" hidden="0"/>
    </dxf>
    <dxf>
      <protection locked="1" hidden="0"/>
    </dxf>
    <dxf>
      <protection locked="1" hidden="0"/>
    </dxf>
    <dxf>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b val="0"/>
        <i val="0"/>
        <strike val="0"/>
        <condense val="0"/>
        <extend val="0"/>
        <outline val="0"/>
        <shadow val="0"/>
        <u val="none"/>
        <vertAlign val="baseline"/>
        <sz val="11"/>
        <color auto="1"/>
        <name val="Calibri"/>
        <family val="2"/>
        <scheme val="none"/>
      </font>
      <numFmt numFmtId="165" formatCode="0.0%"/>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auto="1"/>
        <name val="Calibri"/>
        <family val="2"/>
        <scheme val="none"/>
      </font>
      <numFmt numFmtId="165" formatCode="0.0%"/>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auto="1"/>
        <name val="Calibri"/>
        <family val="2"/>
        <scheme val="none"/>
      </font>
      <numFmt numFmtId="165" formatCode="0.0%"/>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auto="1"/>
        <name val="Calibri"/>
        <family val="2"/>
        <scheme val="none"/>
      </font>
      <numFmt numFmtId="32" formatCode="_(&quot;$&quot;* #,##0_);_(&quot;$&quot;* \(#,##0\);_(&quot;$&quot;* &quot;-&quot;_);_(@_)"/>
      <alignment horizontal="general" vertical="bottom" textRotation="0" wrapText="1" indent="0" justifyLastLine="0" shrinkToFit="0" readingOrder="0"/>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ReviewRegisterTable" displayName="ReviewRegisterTable" ref="A1:R6" totalsRowShown="0" headerRowDxfId="77" dataDxfId="76">
  <autoFilter ref="A1:R6" xr:uid="{00000000-000C-0000-FFFF-FFFF00000000}"/>
  <tableColumns count="18">
    <tableColumn id="1" xr3:uid="{00000000-0010-0000-0000-000001000000}" name="Review ID" dataDxfId="75"/>
    <tableColumn id="2" xr3:uid="{00000000-0010-0000-0000-000002000000}" name="Project ID" dataDxfId="74"/>
    <tableColumn id="3" xr3:uid="{00000000-0010-0000-0000-000003000000}" name="Project Description" dataDxfId="73"/>
    <tableColumn id="4" xr3:uid="{00000000-0010-0000-0000-000004000000}" name="Project Manager" dataDxfId="72"/>
    <tableColumn id="5" xr3:uid="{00000000-0010-0000-0000-000005000000}" name="Business Unit" dataDxfId="71"/>
    <tableColumn id="6" xr3:uid="{00000000-0010-0000-0000-000006000000}" name="Project Status" dataDxfId="70"/>
    <tableColumn id="16" xr3:uid="{127B88CC-7435-49FD-86CA-F8FC1E287AD0}" name="Sold Labor Revenue" dataDxfId="69"/>
    <tableColumn id="17" xr3:uid="{576ED539-F9C1-4776-A8E1-8CCE7D957898}" name="Sold Labor Margin %" dataDxfId="68"/>
    <tableColumn id="15" xr3:uid="{9A52488E-DC1A-4667-B1FE-88E68BF34E70}" name="Labor Margin at Review %" dataDxfId="67"/>
    <tableColumn id="18" xr3:uid="{A57CBB9D-12B9-47A1-B2AF-9A7B36CC0DCA}" name="Labor Margin Variance" dataDxfId="66">
      <calculatedColumnFormula>IF(OR(H2="",I2=""),"",I2-H2)</calculatedColumnFormula>
    </tableColumn>
    <tableColumn id="7" xr3:uid="{00000000-0010-0000-0000-000007000000}" name="Review Sequence" dataDxfId="65"/>
    <tableColumn id="8" xr3:uid="{00000000-0010-0000-0000-000008000000}" name="Review Type" dataDxfId="64"/>
    <tableColumn id="9" xr3:uid="{00000000-0010-0000-0000-000009000000}" name="Reviewer" dataDxfId="63"/>
    <tableColumn id="10" xr3:uid="{00000000-0010-0000-0000-00000A000000}" name="Review Status" dataDxfId="62"/>
    <tableColumn id="11" xr3:uid="{00000000-0010-0000-0000-00000B000000}" name="Review Start Date" dataDxfId="61"/>
    <tableColumn id="12" xr3:uid="{00000000-0010-0000-0000-00000C000000}" name="Review Completion Date" dataDxfId="60"/>
    <tableColumn id="13" xr3:uid="{00000000-0010-0000-0000-00000D000000}" name="Review Time (Hours)" dataDxfId="59"/>
    <tableColumn id="14" xr3:uid="{00000000-0010-0000-0000-00000E000000}" name="Notes" dataDxfId="5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21CEA1-40F5-4A68-801D-924547EB0C53}" name="ReviewEntryTable2" displayName="ReviewEntryTable2" ref="A1:R106" totalsRowShown="0" headerRowDxfId="57" dataDxfId="56">
  <autoFilter ref="A1:R106" xr:uid="{00000000-0009-0000-0100-000007000000}">
    <filterColumn colId="2">
      <filters>
        <filter val="1.1"/>
        <filter val="2.1"/>
        <filter val="3.1"/>
        <filter val="4.1"/>
        <filter val="5.1"/>
        <filter val="6.1"/>
        <filter val="7.1"/>
      </filters>
    </filterColumn>
  </autoFilter>
  <tableColumns count="18">
    <tableColumn id="1" xr3:uid="{4186FF2D-EBB0-4DB8-970C-97B49BD3A1BB}" name="Review ID" dataDxfId="55"/>
    <tableColumn id="2" xr3:uid="{23EC9102-37A7-44C6-8A6C-7E95625F0D6C}" name="Review Area" dataDxfId="54"/>
    <tableColumn id="3" xr3:uid="{8DADF3E2-74DC-44AC-955D-759C4D6AE530}" name="Question ID" dataDxfId="53"/>
    <tableColumn id="4" xr3:uid="{5D008C8A-54D6-4E1D-805E-E2691AC70469}" name="Controlled Question Text" dataDxfId="52"/>
    <tableColumn id="5" xr3:uid="{CAB83778-4F46-4834-B743-E254134E520F}" name="Primary Intent" dataDxfId="51"/>
    <tableColumn id="6" xr3:uid="{EA061590-ADF8-47DD-AAD4-DB46438AC925}" name="Evaluation Boundary" dataDxfId="50"/>
    <tableColumn id="7" xr3:uid="{C2C88565-3A28-420C-9747-8E8875C813D5}" name="Result" dataDxfId="49"/>
    <tableColumn id="8" xr3:uid="{4327DD5D-3FC4-4B08-B75B-6310BCF2336A}" name="Evidence Status" dataDxfId="48"/>
    <tableColumn id="9" xr3:uid="{A565EF27-7660-4146-AC6D-1773E6275C4C}" name="Evidence Reviewed / Location" dataDxfId="47"/>
    <tableColumn id="10" xr3:uid="{375A2AE2-5718-424D-97A3-857E69788A41}" name="PM Clarification Used?" dataDxfId="46"/>
    <tableColumn id="11" xr3:uid="{99558DC9-B1B7-4A37-B2AE-9E9E88B0712E}" name="PM Clarification Summary" dataDxfId="45"/>
    <tableColumn id="12" xr3:uid="{3C9AEBC5-4C39-4428-BA48-0D0277AAC3E4}" name="Reviewer Observation" dataDxfId="44"/>
    <tableColumn id="13" xr3:uid="{3448C1E9-7FC3-4D0D-A421-C2C29E42B672}" name="Primary Root Cause" dataDxfId="43"/>
    <tableColumn id="14" xr3:uid="{90167BAC-8112-4813-8CC6-BA690575D28F}" name="Root-Cause Explanation" dataDxfId="42"/>
    <tableColumn id="15" xr3:uid="{97976861-0EA6-431D-874E-0E3EFDD4A7B9}" name="Quality-System-Related?" dataDxfId="41"/>
    <tableColumn id="16" xr3:uid="{97D4EBF4-F7D2-4A6C-8583-DCF5ACE148C8}" name="Follow-Up Required?" dataDxfId="40"/>
    <tableColumn id="17" xr3:uid="{C503DF10-7E43-4051-A3C7-04FC1C7FF80D}" name="Reviewer" dataDxfId="39"/>
    <tableColumn id="18" xr3:uid="{E54683E9-CA6E-4166-8201-A48A298424F4}" name="Project Manager" dataDxfId="3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ReviewEntryTable" displayName="ReviewEntryTable" ref="A1:P106" totalsRowShown="0" headerRowDxfId="37" dataDxfId="36">
  <autoFilter ref="A1:P106" xr:uid="{00000000-0009-0000-0100-000007000000}"/>
  <tableColumns count="16">
    <tableColumn id="1" xr3:uid="{00000000-0010-0000-0100-000001000000}" name="Review ID" dataDxfId="35"/>
    <tableColumn id="2" xr3:uid="{00000000-0010-0000-0100-000002000000}" name="Review Area" dataDxfId="34"/>
    <tableColumn id="3" xr3:uid="{00000000-0010-0000-0100-000003000000}" name="Question ID" dataDxfId="33"/>
    <tableColumn id="4" xr3:uid="{00000000-0010-0000-0100-000004000000}" name="Controlled Question Text" dataDxfId="32"/>
    <tableColumn id="5" xr3:uid="{00000000-0010-0000-0100-000005000000}" name="Primary Intent" dataDxfId="31"/>
    <tableColumn id="7" xr3:uid="{00000000-0010-0000-0100-000007000000}" name="Result" dataDxfId="30"/>
    <tableColumn id="8" xr3:uid="{00000000-0010-0000-0100-000008000000}" name="Evidence Status" dataDxfId="29"/>
    <tableColumn id="9" xr3:uid="{00000000-0010-0000-0100-000009000000}" name="Evidence Reviewed / Location" dataDxfId="28"/>
    <tableColumn id="10" xr3:uid="{00000000-0010-0000-0100-00000A000000}" name="PM Clarification Used?" dataDxfId="27"/>
    <tableColumn id="11" xr3:uid="{00000000-0010-0000-0100-00000B000000}" name="PM Clarification Summary" dataDxfId="26"/>
    <tableColumn id="12" xr3:uid="{00000000-0010-0000-0100-00000C000000}" name="Reviewer Observation" dataDxfId="25"/>
    <tableColumn id="13" xr3:uid="{00000000-0010-0000-0100-00000D000000}" name="Primary Root Cause" dataDxfId="24"/>
    <tableColumn id="14" xr3:uid="{00000000-0010-0000-0100-00000E000000}" name="Root-Cause Explanation" dataDxfId="23"/>
    <tableColumn id="16" xr3:uid="{00000000-0010-0000-0100-000010000000}" name="Follow-Up Required?" dataDxfId="22"/>
    <tableColumn id="17" xr3:uid="{00000000-0010-0000-0100-000011000000}" name="Reviewer" dataDxfId="21"/>
    <tableColumn id="18" xr3:uid="{00000000-0010-0000-0100-000012000000}" name="Project Manager" dataDxf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ScoringGuideTable" displayName="ScoringGuideTable" ref="A1:H22" totalsRowShown="0">
  <autoFilter ref="A1:H22" xr:uid="{00000000-000C-0000-FFFF-FFFF02000000}"/>
  <tableColumns count="8">
    <tableColumn id="1" xr3:uid="{00000000-0010-0000-0200-000001000000}" name="Review Area"/>
    <tableColumn id="2" xr3:uid="{00000000-0010-0000-0200-000002000000}" name="Question ID"/>
    <tableColumn id="3" xr3:uid="{00000000-0010-0000-0200-000003000000}" name="Controlled Question"/>
    <tableColumn id="4" xr3:uid="{00000000-0010-0000-0200-000004000000}" name="3 — Meets Expectation"/>
    <tableColumn id="5" xr3:uid="{00000000-0010-0000-0200-000005000000}" name="2 — Partially Meets Expectation"/>
    <tableColumn id="6" xr3:uid="{00000000-0010-0000-0200-000006000000}" name="1 — Does Not Meet Expectation"/>
    <tableColumn id="7" xr3:uid="{00000000-0010-0000-0200-000007000000}" name="Typical Evidence"/>
    <tableColumn id="8" xr3:uid="{00000000-0010-0000-0200-000008000000}" name="Evaluation Boundar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3000000}" name="SourceMatrixTable" displayName="SourceMatrixTable" ref="A1:G67" totalsRowShown="0">
  <autoFilter ref="A1:G67" xr:uid="{00000000-0009-0000-0100-000009000000}"/>
  <tableColumns count="7">
    <tableColumn id="1" xr3:uid="{00000000-0010-0000-0300-000001000000}" name="Review Area"/>
    <tableColumn id="2" xr3:uid="{00000000-0010-0000-0300-000002000000}" name="Question ID"/>
    <tableColumn id="3" xr3:uid="{00000000-0010-0000-0300-000003000000}" name="Source Document"/>
    <tableColumn id="4" xr3:uid="{00000000-0010-0000-0300-000004000000}" name="Section"/>
    <tableColumn id="5" xr3:uid="{00000000-0010-0000-0300-000005000000}" name="Page"/>
    <tableColumn id="6" xr3:uid="{00000000-0010-0000-0300-000006000000}" name="Requirement / Relevance"/>
    <tableColumn id="7" xr3:uid="{00000000-0010-0000-0300-000007000000}" name="Source Fil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ActionsTable" displayName="ActionsTable" ref="A1:K41" totalsRowShown="0">
  <autoFilter ref="A1:K41" xr:uid="{00000000-000C-0000-FFFF-FFFF04000000}"/>
  <tableColumns count="11">
    <tableColumn id="1" xr3:uid="{00000000-0010-0000-0400-000001000000}" name="Action ID"/>
    <tableColumn id="2" xr3:uid="{00000000-0010-0000-0400-000002000000}" name="Review ID"/>
    <tableColumn id="3" xr3:uid="{00000000-0010-0000-0400-000003000000}" name="Question ID"/>
    <tableColumn id="4" xr3:uid="{00000000-0010-0000-0400-000004000000}" name="Action Type"/>
    <tableColumn id="5" xr3:uid="{00000000-0010-0000-0400-000005000000}" name="Action / Improvement"/>
    <tableColumn id="6" xr3:uid="{00000000-0010-0000-0400-000006000000}" name="Owner"/>
    <tableColumn id="7" xr3:uid="{00000000-0010-0000-0400-000007000000}" name="Due Date"/>
    <tableColumn id="8" xr3:uid="{00000000-0010-0000-0400-000008000000}" name="Status"/>
    <tableColumn id="9" xr3:uid="{00000000-0010-0000-0400-000009000000}" name="Closure Evidence"/>
    <tableColumn id="10" xr3:uid="{00000000-0010-0000-0400-00000A000000}" name="Closed Date"/>
    <tableColumn id="11" xr3:uid="{00000000-0010-0000-0400-00000B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4.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341D8-2AB9-4200-929F-BC054934A291}">
  <dimension ref="A1:C4"/>
  <sheetViews>
    <sheetView workbookViewId="0">
      <selection activeCell="C2" sqref="C2"/>
    </sheetView>
  </sheetViews>
  <sheetFormatPr defaultColWidth="9.125" defaultRowHeight="15"/>
  <cols>
    <col min="1" max="1" width="9.125" style="67"/>
    <col min="2" max="2" width="11.25" style="68" bestFit="1" customWidth="1"/>
    <col min="3" max="3" width="104.125" style="29" bestFit="1" customWidth="1"/>
    <col min="4" max="16384" width="9.125" style="29"/>
  </cols>
  <sheetData>
    <row r="1" spans="1:3">
      <c r="A1" s="67">
        <v>1</v>
      </c>
      <c r="B1" s="68" t="s">
        <v>2</v>
      </c>
      <c r="C1" s="29" t="s">
        <v>581</v>
      </c>
    </row>
    <row r="2" spans="1:3">
      <c r="A2" s="67">
        <v>2</v>
      </c>
      <c r="B2" s="68" t="s">
        <v>2</v>
      </c>
      <c r="C2" s="29" t="s">
        <v>548</v>
      </c>
    </row>
    <row r="3" spans="1:3">
      <c r="A3" s="67">
        <v>3</v>
      </c>
      <c r="B3" s="68" t="s">
        <v>2</v>
      </c>
      <c r="C3" s="29" t="s">
        <v>550</v>
      </c>
    </row>
    <row r="4" spans="1:3">
      <c r="A4" s="67">
        <v>4</v>
      </c>
      <c r="B4" s="68" t="s">
        <v>1</v>
      </c>
      <c r="C4" s="29" t="s">
        <v>575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ABC0A-DFAD-47A5-9248-FA289DB1F77F}">
  <sheetPr>
    <tabColor rgb="FFFFFF00"/>
  </sheetPr>
  <dimension ref="A1:C9"/>
  <sheetViews>
    <sheetView zoomScaleNormal="100" workbookViewId="0">
      <selection activeCell="G33" sqref="G33"/>
    </sheetView>
  </sheetViews>
  <sheetFormatPr defaultColWidth="8.75" defaultRowHeight="15"/>
  <cols>
    <col min="1" max="1" width="3.75" style="72" bestFit="1" customWidth="1"/>
    <col min="2" max="2" width="16.375" style="77" customWidth="1"/>
    <col min="3" max="3" width="88.625" style="29" customWidth="1"/>
    <col min="4" max="16384" width="8.75" style="29"/>
  </cols>
  <sheetData>
    <row r="1" spans="1:3">
      <c r="A1" s="73" t="s">
        <v>620</v>
      </c>
      <c r="B1" s="76" t="s">
        <v>622</v>
      </c>
      <c r="C1" s="74" t="s">
        <v>619</v>
      </c>
    </row>
    <row r="2" spans="1:3">
      <c r="A2" s="78">
        <v>1</v>
      </c>
      <c r="B2" s="79">
        <v>46248</v>
      </c>
      <c r="C2" s="75" t="s">
        <v>621</v>
      </c>
    </row>
    <row r="3" spans="1:3">
      <c r="A3" s="78"/>
      <c r="B3" s="79"/>
      <c r="C3" s="75"/>
    </row>
    <row r="4" spans="1:3">
      <c r="A4" s="78"/>
      <c r="B4" s="79"/>
      <c r="C4" s="75"/>
    </row>
    <row r="5" spans="1:3">
      <c r="A5" s="78"/>
      <c r="B5" s="79"/>
      <c r="C5" s="75"/>
    </row>
    <row r="6" spans="1:3">
      <c r="A6" s="78"/>
      <c r="B6" s="79"/>
      <c r="C6" s="75"/>
    </row>
    <row r="7" spans="1:3">
      <c r="A7" s="78"/>
      <c r="B7" s="79"/>
      <c r="C7" s="75"/>
    </row>
    <row r="8" spans="1:3">
      <c r="A8" s="78"/>
      <c r="B8" s="79"/>
      <c r="C8" s="75"/>
    </row>
    <row r="9" spans="1:3">
      <c r="A9" s="78"/>
      <c r="B9" s="79"/>
      <c r="C9" s="7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F856D-8AB6-4951-AAE0-D66E64F0C9C5}">
  <sheetPr>
    <tabColor rgb="FFFFFF00"/>
  </sheetPr>
  <dimension ref="A1:B9"/>
  <sheetViews>
    <sheetView tabSelected="1" zoomScale="120" zoomScaleNormal="120" workbookViewId="0">
      <selection activeCell="B11" sqref="B11"/>
    </sheetView>
  </sheetViews>
  <sheetFormatPr defaultColWidth="8.75" defaultRowHeight="15"/>
  <cols>
    <col min="1" max="1" width="18.25" style="29" customWidth="1"/>
    <col min="2" max="2" width="108.125" style="29" customWidth="1"/>
    <col min="3" max="16384" width="8.75" style="29"/>
  </cols>
  <sheetData>
    <row r="1" spans="1:2">
      <c r="A1" s="55" t="s">
        <v>510</v>
      </c>
      <c r="B1" s="56" t="s">
        <v>482</v>
      </c>
    </row>
    <row r="2" spans="1:2" ht="28.5">
      <c r="A2" s="57" t="s">
        <v>511</v>
      </c>
      <c r="B2" s="58" t="s">
        <v>512</v>
      </c>
    </row>
    <row r="3" spans="1:2" ht="28.5">
      <c r="A3" s="57" t="s">
        <v>0</v>
      </c>
      <c r="B3" s="58" t="s">
        <v>513</v>
      </c>
    </row>
    <row r="4" spans="1:2" ht="28.5">
      <c r="A4" s="57" t="s">
        <v>1</v>
      </c>
      <c r="B4" s="58" t="s">
        <v>514</v>
      </c>
    </row>
    <row r="5" spans="1:2">
      <c r="A5" s="57" t="s">
        <v>2</v>
      </c>
      <c r="B5" s="58" t="s">
        <v>515</v>
      </c>
    </row>
    <row r="6" spans="1:2" ht="28.5">
      <c r="A6" s="57" t="s">
        <v>3</v>
      </c>
      <c r="B6" s="58" t="s">
        <v>516</v>
      </c>
    </row>
    <row r="7" spans="1:2" ht="28.5">
      <c r="A7" s="57" t="s">
        <v>517</v>
      </c>
      <c r="B7" s="58" t="s">
        <v>518</v>
      </c>
    </row>
    <row r="8" spans="1:2" ht="28.5">
      <c r="A8" s="57" t="s">
        <v>519</v>
      </c>
      <c r="B8" s="58" t="s">
        <v>520</v>
      </c>
    </row>
    <row r="9" spans="1:2" ht="28.5">
      <c r="A9" s="57" t="s">
        <v>521</v>
      </c>
      <c r="B9" s="58" t="s">
        <v>522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F89"/>
  <sheetViews>
    <sheetView zoomScaleNormal="100" workbookViewId="0">
      <selection activeCell="D89" sqref="D89"/>
    </sheetView>
  </sheetViews>
  <sheetFormatPr defaultColWidth="8.75" defaultRowHeight="15"/>
  <cols>
    <col min="1" max="1" width="26" style="19" customWidth="1"/>
    <col min="2" max="2" width="90" style="19" customWidth="1"/>
    <col min="3" max="3" width="8.75" style="19"/>
    <col min="4" max="4" width="20.5" style="19" bestFit="1" customWidth="1"/>
    <col min="5" max="5" width="29.5" style="19" customWidth="1"/>
    <col min="6" max="6" width="32.125" style="19" customWidth="1"/>
    <col min="7" max="16384" width="8.75" style="19"/>
  </cols>
  <sheetData>
    <row r="1" spans="1:2">
      <c r="A1" s="25" t="s">
        <v>450</v>
      </c>
      <c r="B1" s="26"/>
    </row>
    <row r="2" spans="1:2">
      <c r="A2" s="60" t="s">
        <v>451</v>
      </c>
      <c r="B2" s="60" t="s">
        <v>482</v>
      </c>
    </row>
    <row r="3" spans="1:2">
      <c r="A3" s="59" t="s">
        <v>4</v>
      </c>
      <c r="B3" s="61" t="s">
        <v>460</v>
      </c>
    </row>
    <row r="4" spans="1:2" ht="105">
      <c r="A4" s="59" t="s">
        <v>5</v>
      </c>
      <c r="B4" s="61" t="s">
        <v>582</v>
      </c>
    </row>
    <row r="5" spans="1:2">
      <c r="A5" s="59" t="s">
        <v>6</v>
      </c>
      <c r="B5" s="61" t="s">
        <v>452</v>
      </c>
    </row>
    <row r="6" spans="1:2">
      <c r="A6" s="59" t="s">
        <v>7</v>
      </c>
      <c r="B6" s="61" t="s">
        <v>453</v>
      </c>
    </row>
    <row r="7" spans="1:2">
      <c r="A7" s="59" t="s">
        <v>8</v>
      </c>
      <c r="B7" s="61" t="s">
        <v>454</v>
      </c>
    </row>
    <row r="8" spans="1:2">
      <c r="A8" s="59" t="s">
        <v>9</v>
      </c>
      <c r="B8" s="61" t="s">
        <v>461</v>
      </c>
    </row>
    <row r="9" spans="1:2" ht="75">
      <c r="A9" s="59" t="s">
        <v>601</v>
      </c>
      <c r="B9" s="61" t="s">
        <v>605</v>
      </c>
    </row>
    <row r="10" spans="1:2" ht="75">
      <c r="A10" s="59" t="s">
        <v>602</v>
      </c>
      <c r="B10" s="61" t="s">
        <v>606</v>
      </c>
    </row>
    <row r="11" spans="1:2" ht="90">
      <c r="A11" s="59" t="s">
        <v>604</v>
      </c>
      <c r="B11" s="61" t="s">
        <v>607</v>
      </c>
    </row>
    <row r="12" spans="1:2" ht="75">
      <c r="A12" s="59" t="s">
        <v>603</v>
      </c>
      <c r="B12" s="61" t="s">
        <v>608</v>
      </c>
    </row>
    <row r="13" spans="1:2">
      <c r="A13" s="59" t="s">
        <v>10</v>
      </c>
      <c r="B13" s="61" t="s">
        <v>462</v>
      </c>
    </row>
    <row r="14" spans="1:2" ht="30">
      <c r="A14" s="59" t="s">
        <v>11</v>
      </c>
      <c r="B14" s="61" t="s">
        <v>463</v>
      </c>
    </row>
    <row r="15" spans="1:2">
      <c r="A15" s="59" t="s">
        <v>12</v>
      </c>
      <c r="B15" s="61" t="s">
        <v>455</v>
      </c>
    </row>
    <row r="16" spans="1:2">
      <c r="A16" s="59" t="s">
        <v>13</v>
      </c>
      <c r="B16" s="61" t="s">
        <v>464</v>
      </c>
    </row>
    <row r="17" spans="1:2">
      <c r="A17" s="59" t="s">
        <v>14</v>
      </c>
      <c r="B17" s="61" t="s">
        <v>456</v>
      </c>
    </row>
    <row r="18" spans="1:2">
      <c r="A18" s="59" t="s">
        <v>15</v>
      </c>
      <c r="B18" s="61" t="s">
        <v>457</v>
      </c>
    </row>
    <row r="19" spans="1:2">
      <c r="A19" s="59" t="s">
        <v>589</v>
      </c>
      <c r="B19" s="61" t="s">
        <v>458</v>
      </c>
    </row>
    <row r="20" spans="1:2">
      <c r="A20" s="59" t="s">
        <v>17</v>
      </c>
      <c r="B20" s="61" t="s">
        <v>459</v>
      </c>
    </row>
    <row r="21" spans="1:2">
      <c r="A21" s="27"/>
      <c r="B21" s="28"/>
    </row>
    <row r="22" spans="1:2">
      <c r="A22" s="25" t="s">
        <v>465</v>
      </c>
      <c r="B22" s="26"/>
    </row>
    <row r="23" spans="1:2">
      <c r="A23" s="60" t="s">
        <v>466</v>
      </c>
      <c r="B23" s="60" t="s">
        <v>482</v>
      </c>
    </row>
    <row r="24" spans="1:2" ht="30">
      <c r="A24" s="59" t="s">
        <v>4</v>
      </c>
      <c r="B24" s="61" t="s">
        <v>467</v>
      </c>
    </row>
    <row r="25" spans="1:2" ht="30">
      <c r="A25" s="59" t="s">
        <v>30</v>
      </c>
      <c r="B25" s="61" t="s">
        <v>468</v>
      </c>
    </row>
    <row r="26" spans="1:2">
      <c r="A26" s="59" t="s">
        <v>31</v>
      </c>
      <c r="B26" s="61" t="s">
        <v>477</v>
      </c>
    </row>
    <row r="27" spans="1:2">
      <c r="A27" s="59" t="s">
        <v>32</v>
      </c>
      <c r="B27" s="61" t="s">
        <v>469</v>
      </c>
    </row>
    <row r="28" spans="1:2" ht="30">
      <c r="A28" s="59" t="s">
        <v>33</v>
      </c>
      <c r="B28" s="61" t="s">
        <v>470</v>
      </c>
    </row>
    <row r="29" spans="1:2" ht="30">
      <c r="A29" s="59" t="s">
        <v>34</v>
      </c>
      <c r="B29" s="61" t="s">
        <v>590</v>
      </c>
    </row>
    <row r="30" spans="1:2" ht="30">
      <c r="A30" s="59" t="s">
        <v>35</v>
      </c>
      <c r="B30" s="61" t="s">
        <v>471</v>
      </c>
    </row>
    <row r="31" spans="1:2" ht="30">
      <c r="A31" s="59" t="s">
        <v>36</v>
      </c>
      <c r="B31" s="61" t="s">
        <v>472</v>
      </c>
    </row>
    <row r="32" spans="1:2" ht="30">
      <c r="A32" s="59" t="s">
        <v>37</v>
      </c>
      <c r="B32" s="61" t="s">
        <v>478</v>
      </c>
    </row>
    <row r="33" spans="1:2" ht="30">
      <c r="A33" s="59" t="s">
        <v>38</v>
      </c>
      <c r="B33" s="61" t="s">
        <v>473</v>
      </c>
    </row>
    <row r="34" spans="1:2" ht="30">
      <c r="A34" s="59" t="s">
        <v>39</v>
      </c>
      <c r="B34" s="61" t="s">
        <v>474</v>
      </c>
    </row>
    <row r="35" spans="1:2" ht="30">
      <c r="A35" s="59" t="s">
        <v>40</v>
      </c>
      <c r="B35" s="61" t="s">
        <v>475</v>
      </c>
    </row>
    <row r="36" spans="1:2" ht="30">
      <c r="A36" s="59" t="s">
        <v>41</v>
      </c>
      <c r="B36" s="61" t="s">
        <v>476</v>
      </c>
    </row>
    <row r="37" spans="1:2" ht="60">
      <c r="A37" s="59" t="s">
        <v>43</v>
      </c>
      <c r="B37" s="61" t="s">
        <v>591</v>
      </c>
    </row>
    <row r="38" spans="1:2">
      <c r="A38" s="2"/>
      <c r="B38" s="3"/>
    </row>
    <row r="39" spans="1:2">
      <c r="A39" s="25" t="s">
        <v>479</v>
      </c>
      <c r="B39" s="26"/>
    </row>
    <row r="40" spans="1:2" ht="44.1" customHeight="1">
      <c r="A40" s="80" t="s">
        <v>524</v>
      </c>
      <c r="B40" s="81"/>
    </row>
    <row r="41" spans="1:2" ht="29.45" customHeight="1">
      <c r="A41" s="83" t="s">
        <v>491</v>
      </c>
      <c r="B41" s="84"/>
    </row>
    <row r="42" spans="1:2">
      <c r="A42" s="65" t="s">
        <v>480</v>
      </c>
      <c r="B42" s="66"/>
    </row>
    <row r="43" spans="1:2">
      <c r="A43" s="60" t="s">
        <v>481</v>
      </c>
      <c r="B43" s="60" t="s">
        <v>482</v>
      </c>
    </row>
    <row r="44" spans="1:2">
      <c r="A44" s="59" t="s">
        <v>30</v>
      </c>
      <c r="B44" s="61" t="s">
        <v>483</v>
      </c>
    </row>
    <row r="45" spans="1:2">
      <c r="A45" s="59" t="s">
        <v>31</v>
      </c>
      <c r="B45" s="61" t="s">
        <v>484</v>
      </c>
    </row>
    <row r="46" spans="1:2">
      <c r="A46" s="59" t="s">
        <v>134</v>
      </c>
      <c r="B46" s="61" t="s">
        <v>485</v>
      </c>
    </row>
    <row r="47" spans="1:2" ht="30">
      <c r="A47" s="59" t="s">
        <v>135</v>
      </c>
      <c r="B47" s="61" t="s">
        <v>486</v>
      </c>
    </row>
    <row r="48" spans="1:2" ht="30">
      <c r="A48" s="59" t="s">
        <v>136</v>
      </c>
      <c r="B48" s="61" t="s">
        <v>487</v>
      </c>
    </row>
    <row r="49" spans="1:2">
      <c r="A49" s="59" t="s">
        <v>137</v>
      </c>
      <c r="B49" s="61" t="s">
        <v>488</v>
      </c>
    </row>
    <row r="50" spans="1:2" ht="30">
      <c r="A50" s="59" t="s">
        <v>138</v>
      </c>
      <c r="B50" s="61" t="s">
        <v>489</v>
      </c>
    </row>
    <row r="51" spans="1:2" ht="30">
      <c r="A51" s="59" t="s">
        <v>526</v>
      </c>
      <c r="B51" s="61" t="s">
        <v>490</v>
      </c>
    </row>
    <row r="52" spans="1:2">
      <c r="A52" s="2"/>
      <c r="B52" s="3"/>
    </row>
    <row r="53" spans="1:2">
      <c r="A53" s="25" t="s">
        <v>492</v>
      </c>
      <c r="B53" s="26"/>
    </row>
    <row r="54" spans="1:2" ht="29.45" customHeight="1">
      <c r="A54" s="80" t="s">
        <v>500</v>
      </c>
      <c r="B54" s="81"/>
    </row>
    <row r="55" spans="1:2" ht="28.15" customHeight="1">
      <c r="A55" s="83" t="s">
        <v>502</v>
      </c>
      <c r="B55" s="84"/>
    </row>
    <row r="56" spans="1:2" ht="28.15" customHeight="1">
      <c r="A56" s="85" t="s">
        <v>503</v>
      </c>
      <c r="B56" s="86"/>
    </row>
    <row r="57" spans="1:2">
      <c r="A57" s="60" t="s">
        <v>493</v>
      </c>
      <c r="B57" s="60" t="s">
        <v>482</v>
      </c>
    </row>
    <row r="58" spans="1:2">
      <c r="A58" s="59" t="s">
        <v>30</v>
      </c>
      <c r="B58" s="61" t="s">
        <v>494</v>
      </c>
    </row>
    <row r="59" spans="1:2" ht="30">
      <c r="A59" s="59" t="s">
        <v>31</v>
      </c>
      <c r="B59" s="61" t="s">
        <v>495</v>
      </c>
    </row>
    <row r="60" spans="1:2" ht="30">
      <c r="A60" s="59" t="s">
        <v>203</v>
      </c>
      <c r="B60" s="61" t="s">
        <v>496</v>
      </c>
    </row>
    <row r="61" spans="1:2">
      <c r="A61" s="59" t="s">
        <v>204</v>
      </c>
      <c r="B61" s="61" t="s">
        <v>497</v>
      </c>
    </row>
    <row r="62" spans="1:2" ht="30">
      <c r="A62" s="59" t="s">
        <v>205</v>
      </c>
      <c r="B62" s="61" t="s">
        <v>501</v>
      </c>
    </row>
    <row r="63" spans="1:2">
      <c r="A63" s="59" t="s">
        <v>206</v>
      </c>
      <c r="B63" s="61" t="s">
        <v>498</v>
      </c>
    </row>
    <row r="64" spans="1:2">
      <c r="A64" s="59" t="s">
        <v>207</v>
      </c>
      <c r="B64" s="61" t="s">
        <v>499</v>
      </c>
    </row>
    <row r="65" spans="1:6">
      <c r="A65" s="2"/>
      <c r="B65" s="3"/>
    </row>
    <row r="66" spans="1:6">
      <c r="A66" s="25" t="s">
        <v>442</v>
      </c>
      <c r="B66" s="26"/>
    </row>
    <row r="67" spans="1:6" ht="29.65" customHeight="1">
      <c r="A67" s="82" t="s">
        <v>592</v>
      </c>
      <c r="B67" s="82"/>
    </row>
    <row r="68" spans="1:6">
      <c r="A68" s="60" t="s">
        <v>443</v>
      </c>
      <c r="B68" s="60" t="s">
        <v>482</v>
      </c>
    </row>
    <row r="69" spans="1:6">
      <c r="A69" s="59" t="s">
        <v>383</v>
      </c>
      <c r="B69" s="61" t="s">
        <v>444</v>
      </c>
    </row>
    <row r="70" spans="1:6">
      <c r="A70" s="59" t="s">
        <v>4</v>
      </c>
      <c r="B70" s="61" t="s">
        <v>445</v>
      </c>
    </row>
    <row r="71" spans="1:6">
      <c r="A71" s="59" t="s">
        <v>31</v>
      </c>
      <c r="B71" s="61" t="s">
        <v>446</v>
      </c>
    </row>
    <row r="72" spans="1:6" ht="195">
      <c r="A72" s="59" t="s">
        <v>523</v>
      </c>
      <c r="B72" s="61" t="s">
        <v>583</v>
      </c>
      <c r="D72" s="62"/>
      <c r="E72" s="62"/>
      <c r="F72" s="62"/>
    </row>
    <row r="73" spans="1:6" ht="30">
      <c r="A73" s="59" t="s">
        <v>384</v>
      </c>
      <c r="B73" s="61" t="s">
        <v>447</v>
      </c>
      <c r="D73" s="63"/>
      <c r="E73" s="64"/>
      <c r="F73" s="64"/>
    </row>
    <row r="74" spans="1:6" ht="45">
      <c r="A74" s="59" t="s">
        <v>385</v>
      </c>
      <c r="B74" s="61" t="s">
        <v>596</v>
      </c>
      <c r="D74" s="63"/>
      <c r="E74" s="64"/>
      <c r="F74" s="64"/>
    </row>
    <row r="75" spans="1:6">
      <c r="A75" s="59" t="s">
        <v>386</v>
      </c>
      <c r="B75" s="61" t="s">
        <v>593</v>
      </c>
      <c r="D75" s="63"/>
      <c r="E75" s="64"/>
      <c r="F75" s="64"/>
    </row>
    <row r="76" spans="1:6" ht="30">
      <c r="A76" s="59" t="s">
        <v>387</v>
      </c>
      <c r="B76" s="61" t="s">
        <v>594</v>
      </c>
      <c r="D76" s="63"/>
      <c r="E76" s="64"/>
      <c r="F76" s="64"/>
    </row>
    <row r="77" spans="1:6" ht="30">
      <c r="A77" s="59" t="s">
        <v>388</v>
      </c>
      <c r="B77" s="61" t="s">
        <v>595</v>
      </c>
      <c r="D77" s="63"/>
      <c r="E77" s="64"/>
      <c r="F77" s="64"/>
    </row>
    <row r="78" spans="1:6">
      <c r="A78" s="59" t="s">
        <v>389</v>
      </c>
      <c r="B78" s="61" t="s">
        <v>448</v>
      </c>
      <c r="D78" s="63"/>
      <c r="E78" s="64"/>
      <c r="F78" s="64"/>
    </row>
    <row r="79" spans="1:6" ht="30">
      <c r="A79" s="59" t="s">
        <v>17</v>
      </c>
      <c r="B79" s="61" t="s">
        <v>449</v>
      </c>
    </row>
    <row r="81" spans="1:2">
      <c r="A81" s="25" t="s">
        <v>610</v>
      </c>
      <c r="B81" s="26"/>
    </row>
    <row r="82" spans="1:2">
      <c r="A82" s="60" t="s">
        <v>611</v>
      </c>
      <c r="B82" s="60" t="s">
        <v>391</v>
      </c>
    </row>
    <row r="83" spans="1:2" ht="45">
      <c r="A83" s="59" t="s">
        <v>397</v>
      </c>
      <c r="B83" s="61" t="s">
        <v>612</v>
      </c>
    </row>
    <row r="84" spans="1:2" ht="30">
      <c r="A84" s="59" t="s">
        <v>398</v>
      </c>
      <c r="B84" s="61" t="s">
        <v>613</v>
      </c>
    </row>
    <row r="85" spans="1:2" ht="30">
      <c r="A85" s="59" t="s">
        <v>399</v>
      </c>
      <c r="B85" s="61" t="s">
        <v>614</v>
      </c>
    </row>
    <row r="86" spans="1:2" ht="45">
      <c r="A86" s="59" t="s">
        <v>401</v>
      </c>
      <c r="B86" s="61" t="s">
        <v>615</v>
      </c>
    </row>
    <row r="87" spans="1:2" ht="60">
      <c r="A87" s="59" t="s">
        <v>609</v>
      </c>
      <c r="B87" s="61" t="s">
        <v>616</v>
      </c>
    </row>
    <row r="88" spans="1:2">
      <c r="A88" s="60"/>
      <c r="B88" s="60" t="s">
        <v>617</v>
      </c>
    </row>
    <row r="89" spans="1:2" ht="150">
      <c r="A89" s="40"/>
      <c r="B89" s="30" t="s">
        <v>618</v>
      </c>
    </row>
  </sheetData>
  <mergeCells count="6">
    <mergeCell ref="A40:B40"/>
    <mergeCell ref="A67:B67"/>
    <mergeCell ref="A54:B54"/>
    <mergeCell ref="A55:B55"/>
    <mergeCell ref="A56:B56"/>
    <mergeCell ref="A41:B4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249977111117893"/>
  </sheetPr>
  <dimension ref="A1:U33"/>
  <sheetViews>
    <sheetView zoomScaleNormal="100" workbookViewId="0">
      <pane xSplit="4" ySplit="1" topLeftCell="E2" activePane="bottomRight" state="frozen"/>
      <selection activeCell="E29" sqref="E29"/>
      <selection pane="topRight" activeCell="E29" sqref="E29"/>
      <selection pane="bottomLeft" activeCell="E29" sqref="E29"/>
      <selection pane="bottomRight" activeCell="I2" sqref="I2"/>
    </sheetView>
  </sheetViews>
  <sheetFormatPr defaultColWidth="8.75" defaultRowHeight="15"/>
  <cols>
    <col min="1" max="1" width="20" style="47" customWidth="1"/>
    <col min="2" max="2" width="16" style="47" customWidth="1"/>
    <col min="3" max="3" width="36" style="47" customWidth="1"/>
    <col min="4" max="4" width="24" style="47" customWidth="1"/>
    <col min="5" max="5" width="12.5" style="47" customWidth="1"/>
    <col min="6" max="10" width="12.75" style="47" customWidth="1"/>
    <col min="11" max="11" width="10.75" style="52" customWidth="1"/>
    <col min="12" max="12" width="17.125" style="52" customWidth="1"/>
    <col min="13" max="13" width="22" style="47" customWidth="1"/>
    <col min="14" max="14" width="13" style="52" customWidth="1"/>
    <col min="15" max="16" width="14" style="47" customWidth="1"/>
    <col min="17" max="17" width="16" style="47" customWidth="1"/>
    <col min="18" max="18" width="34" style="47" customWidth="1"/>
    <col min="19" max="19" width="46" style="47" customWidth="1"/>
    <col min="20" max="20" width="44" style="47" customWidth="1"/>
    <col min="21" max="21" width="34" style="47" customWidth="1"/>
    <col min="22" max="16384" width="8.75" style="47"/>
  </cols>
  <sheetData>
    <row r="1" spans="1:21" s="43" customFormat="1" ht="47.25">
      <c r="A1" s="12" t="s">
        <v>4</v>
      </c>
      <c r="B1" s="12" t="s">
        <v>5</v>
      </c>
      <c r="C1" s="12" t="s">
        <v>6</v>
      </c>
      <c r="D1" s="12" t="s">
        <v>7</v>
      </c>
      <c r="E1" s="12" t="s">
        <v>8</v>
      </c>
      <c r="F1" s="12" t="s">
        <v>9</v>
      </c>
      <c r="G1" s="12" t="s">
        <v>601</v>
      </c>
      <c r="H1" s="12" t="s">
        <v>602</v>
      </c>
      <c r="I1" s="12" t="s">
        <v>604</v>
      </c>
      <c r="J1" s="12" t="s">
        <v>603</v>
      </c>
      <c r="K1" s="12" t="s">
        <v>10</v>
      </c>
      <c r="L1" s="12" t="s">
        <v>11</v>
      </c>
      <c r="M1" s="12" t="s">
        <v>12</v>
      </c>
      <c r="N1" s="12" t="s">
        <v>13</v>
      </c>
      <c r="O1" s="12" t="s">
        <v>14</v>
      </c>
      <c r="P1" s="12" t="s">
        <v>15</v>
      </c>
      <c r="Q1" s="12" t="s">
        <v>16</v>
      </c>
      <c r="R1" s="12" t="s">
        <v>17</v>
      </c>
      <c r="S1" s="42"/>
      <c r="T1" s="42"/>
      <c r="U1" s="42"/>
    </row>
    <row r="2" spans="1:21">
      <c r="A2" s="44" t="s">
        <v>18</v>
      </c>
      <c r="B2" s="44" t="s">
        <v>19</v>
      </c>
      <c r="C2" s="44"/>
      <c r="D2" s="44"/>
      <c r="E2" s="44"/>
      <c r="F2" s="44"/>
      <c r="G2" s="70"/>
      <c r="H2" s="71"/>
      <c r="I2" s="71"/>
      <c r="J2" s="71" t="str">
        <f t="shared" ref="J2:J6" si="0">IF(OR(H2="",I2=""),"",I2-H2)</f>
        <v/>
      </c>
      <c r="K2" s="45">
        <v>1</v>
      </c>
      <c r="L2" s="45" t="s">
        <v>20</v>
      </c>
      <c r="M2" s="44"/>
      <c r="N2" s="45" t="s">
        <v>21</v>
      </c>
      <c r="O2" s="46"/>
      <c r="P2" s="46"/>
      <c r="Q2" s="44"/>
      <c r="R2" s="44"/>
    </row>
    <row r="3" spans="1:21">
      <c r="A3" s="48" t="s">
        <v>22</v>
      </c>
      <c r="B3" s="44" t="s">
        <v>23</v>
      </c>
      <c r="C3" s="48"/>
      <c r="D3" s="48"/>
      <c r="E3" s="44"/>
      <c r="F3" s="44"/>
      <c r="G3" s="70"/>
      <c r="H3" s="71"/>
      <c r="I3" s="71"/>
      <c r="J3" s="71" t="str">
        <f t="shared" si="0"/>
        <v/>
      </c>
      <c r="K3" s="49">
        <v>1</v>
      </c>
      <c r="L3" s="45" t="s">
        <v>20</v>
      </c>
      <c r="M3" s="48"/>
      <c r="N3" s="45" t="s">
        <v>21</v>
      </c>
      <c r="O3" s="50"/>
      <c r="P3" s="50"/>
      <c r="Q3" s="48"/>
      <c r="R3" s="48"/>
      <c r="S3" s="51"/>
      <c r="T3" s="51"/>
      <c r="U3" s="51"/>
    </row>
    <row r="4" spans="1:21">
      <c r="A4" s="44" t="s">
        <v>24</v>
      </c>
      <c r="B4" s="44" t="s">
        <v>25</v>
      </c>
      <c r="C4" s="44"/>
      <c r="D4" s="44"/>
      <c r="E4" s="44"/>
      <c r="F4" s="44"/>
      <c r="G4" s="70"/>
      <c r="H4" s="71"/>
      <c r="I4" s="71"/>
      <c r="J4" s="71" t="str">
        <f t="shared" si="0"/>
        <v/>
      </c>
      <c r="K4" s="45">
        <v>1</v>
      </c>
      <c r="L4" s="45" t="s">
        <v>20</v>
      </c>
      <c r="M4" s="46"/>
      <c r="N4" s="45" t="s">
        <v>21</v>
      </c>
      <c r="O4" s="46"/>
      <c r="P4" s="46"/>
      <c r="Q4" s="46"/>
      <c r="R4" s="44"/>
      <c r="S4" s="44"/>
      <c r="T4" s="44"/>
      <c r="U4" s="44"/>
    </row>
    <row r="5" spans="1:21">
      <c r="A5" s="44" t="s">
        <v>26</v>
      </c>
      <c r="B5" s="44" t="s">
        <v>27</v>
      </c>
      <c r="C5" s="44"/>
      <c r="D5" s="44"/>
      <c r="E5" s="44"/>
      <c r="F5" s="44"/>
      <c r="G5" s="70"/>
      <c r="H5" s="71"/>
      <c r="I5" s="71"/>
      <c r="J5" s="71" t="str">
        <f t="shared" si="0"/>
        <v/>
      </c>
      <c r="K5" s="45">
        <v>1</v>
      </c>
      <c r="L5" s="45" t="s">
        <v>20</v>
      </c>
      <c r="M5" s="46"/>
      <c r="N5" s="45" t="s">
        <v>21</v>
      </c>
      <c r="O5" s="46"/>
      <c r="P5" s="46"/>
      <c r="Q5" s="46"/>
      <c r="R5" s="44"/>
      <c r="S5" s="44"/>
      <c r="T5" s="44"/>
      <c r="U5" s="44"/>
    </row>
    <row r="6" spans="1:21">
      <c r="A6" s="44" t="s">
        <v>28</v>
      </c>
      <c r="B6" s="44" t="s">
        <v>29</v>
      </c>
      <c r="C6" s="44"/>
      <c r="D6" s="44"/>
      <c r="E6" s="44"/>
      <c r="F6" s="44"/>
      <c r="G6" s="70"/>
      <c r="H6" s="71"/>
      <c r="I6" s="71"/>
      <c r="J6" s="71" t="str">
        <f t="shared" si="0"/>
        <v/>
      </c>
      <c r="K6" s="45">
        <v>1</v>
      </c>
      <c r="L6" s="45" t="s">
        <v>20</v>
      </c>
      <c r="M6" s="46"/>
      <c r="N6" s="45" t="s">
        <v>21</v>
      </c>
      <c r="O6" s="46"/>
      <c r="P6" s="46"/>
      <c r="Q6" s="46"/>
      <c r="R6" s="44"/>
      <c r="S6" s="44"/>
      <c r="T6" s="44"/>
      <c r="U6" s="44"/>
    </row>
    <row r="7" spans="1:21">
      <c r="A7" s="44"/>
      <c r="B7" s="44"/>
      <c r="C7" s="44"/>
      <c r="D7" s="44"/>
      <c r="E7" s="44"/>
      <c r="F7" s="44"/>
      <c r="G7" s="44"/>
      <c r="H7" s="44"/>
      <c r="I7" s="44"/>
      <c r="J7" s="44"/>
      <c r="K7" s="45"/>
      <c r="L7" s="45"/>
      <c r="M7" s="46"/>
      <c r="N7" s="45"/>
      <c r="O7" s="46"/>
      <c r="P7" s="46"/>
      <c r="Q7" s="46"/>
      <c r="R7" s="44"/>
      <c r="S7" s="44"/>
      <c r="T7" s="44"/>
      <c r="U7" s="44"/>
    </row>
    <row r="8" spans="1:21">
      <c r="A8" s="44"/>
      <c r="B8" s="44"/>
      <c r="C8" s="44"/>
      <c r="D8" s="44"/>
      <c r="E8" s="44"/>
      <c r="F8" s="44"/>
      <c r="G8" s="44"/>
      <c r="H8" s="44"/>
      <c r="I8" s="44"/>
      <c r="J8" s="44"/>
      <c r="K8" s="45"/>
      <c r="L8" s="45"/>
      <c r="M8" s="46"/>
      <c r="N8" s="45"/>
      <c r="O8" s="46"/>
      <c r="P8" s="46"/>
      <c r="Q8" s="46"/>
      <c r="R8" s="44"/>
      <c r="S8" s="44"/>
      <c r="T8" s="44"/>
      <c r="U8" s="44"/>
    </row>
    <row r="9" spans="1:21">
      <c r="A9" s="44"/>
      <c r="B9" s="44"/>
      <c r="C9" s="44"/>
      <c r="D9" s="44"/>
      <c r="E9" s="44"/>
      <c r="F9" s="44"/>
      <c r="G9" s="44"/>
      <c r="H9" s="44"/>
      <c r="I9" s="44"/>
      <c r="J9" s="44"/>
      <c r="K9" s="45"/>
      <c r="L9" s="45"/>
      <c r="M9" s="46"/>
      <c r="N9" s="45"/>
      <c r="O9" s="46"/>
      <c r="P9" s="46"/>
      <c r="Q9" s="46"/>
      <c r="R9" s="44"/>
      <c r="S9" s="44"/>
      <c r="T9" s="44"/>
      <c r="U9" s="44"/>
    </row>
    <row r="10" spans="1:21">
      <c r="A10" s="44"/>
      <c r="B10" s="44"/>
      <c r="C10" s="44"/>
      <c r="D10" s="44"/>
      <c r="E10" s="44"/>
      <c r="F10" s="44"/>
      <c r="G10" s="44"/>
      <c r="H10" s="44"/>
      <c r="I10" s="44"/>
      <c r="J10" s="44"/>
      <c r="K10" s="45"/>
      <c r="L10" s="45"/>
      <c r="M10" s="46"/>
      <c r="N10" s="45"/>
      <c r="O10" s="46"/>
      <c r="P10" s="46"/>
      <c r="Q10" s="46"/>
      <c r="R10" s="44"/>
      <c r="S10" s="44"/>
      <c r="T10" s="44"/>
      <c r="U10" s="44"/>
    </row>
    <row r="11" spans="1:21">
      <c r="A11" s="44"/>
      <c r="B11" s="44"/>
      <c r="C11" s="44"/>
      <c r="D11" s="44"/>
      <c r="E11" s="44"/>
      <c r="F11" s="44"/>
      <c r="G11" s="44"/>
      <c r="H11" s="44"/>
      <c r="I11" s="44"/>
      <c r="J11" s="44"/>
      <c r="K11" s="45"/>
      <c r="L11" s="45"/>
      <c r="M11" s="46"/>
      <c r="N11" s="45"/>
      <c r="O11" s="46"/>
      <c r="P11" s="46"/>
      <c r="Q11" s="46"/>
      <c r="R11" s="44"/>
      <c r="S11" s="44"/>
      <c r="T11" s="44"/>
      <c r="U11" s="44"/>
    </row>
    <row r="12" spans="1:21">
      <c r="A12" s="44"/>
      <c r="B12" s="44"/>
      <c r="C12" s="44"/>
      <c r="D12" s="44"/>
      <c r="E12" s="44"/>
      <c r="F12" s="44"/>
      <c r="G12" s="44"/>
      <c r="H12" s="44"/>
      <c r="I12" s="44"/>
      <c r="J12" s="44"/>
      <c r="K12" s="45"/>
      <c r="L12" s="45"/>
      <c r="M12" s="46"/>
      <c r="N12" s="45"/>
      <c r="O12" s="46"/>
      <c r="P12" s="46"/>
      <c r="Q12" s="46"/>
      <c r="R12" s="44"/>
      <c r="S12" s="44"/>
      <c r="T12" s="44"/>
      <c r="U12" s="44"/>
    </row>
    <row r="13" spans="1:21">
      <c r="A13" s="44"/>
      <c r="B13" s="44"/>
      <c r="C13" s="44"/>
      <c r="D13" s="44"/>
      <c r="E13" s="44"/>
      <c r="F13" s="44"/>
      <c r="G13" s="44"/>
      <c r="H13" s="44"/>
      <c r="I13" s="44"/>
      <c r="J13" s="44"/>
      <c r="K13" s="45"/>
      <c r="L13" s="45"/>
      <c r="M13" s="46"/>
      <c r="N13" s="45"/>
      <c r="O13" s="46"/>
      <c r="P13" s="46"/>
      <c r="Q13" s="46"/>
      <c r="R13" s="44"/>
      <c r="S13" s="44"/>
      <c r="T13" s="44"/>
      <c r="U13" s="44"/>
    </row>
    <row r="14" spans="1:21">
      <c r="A14" s="44"/>
      <c r="B14" s="44"/>
      <c r="C14" s="44"/>
      <c r="D14" s="44"/>
      <c r="E14" s="44"/>
      <c r="F14" s="44"/>
      <c r="G14" s="44"/>
      <c r="H14" s="44"/>
      <c r="I14" s="44"/>
      <c r="J14" s="44"/>
      <c r="K14" s="45"/>
      <c r="L14" s="45"/>
      <c r="M14" s="46"/>
      <c r="N14" s="45"/>
      <c r="O14" s="46"/>
      <c r="P14" s="46"/>
      <c r="Q14" s="46"/>
      <c r="R14" s="44"/>
      <c r="S14" s="44"/>
      <c r="T14" s="44"/>
      <c r="U14" s="44"/>
    </row>
    <row r="15" spans="1:21">
      <c r="A15" s="44"/>
      <c r="B15" s="44"/>
      <c r="C15" s="44"/>
      <c r="D15" s="44"/>
      <c r="E15" s="44"/>
      <c r="F15" s="44"/>
      <c r="G15" s="44"/>
      <c r="H15" s="44"/>
      <c r="I15" s="44"/>
      <c r="J15" s="44"/>
      <c r="K15" s="45"/>
      <c r="L15" s="45"/>
      <c r="M15" s="46"/>
      <c r="N15" s="45"/>
      <c r="O15" s="46"/>
      <c r="P15" s="46"/>
      <c r="Q15" s="46"/>
      <c r="R15" s="44"/>
      <c r="S15" s="44"/>
      <c r="T15" s="44"/>
      <c r="U15" s="44"/>
    </row>
    <row r="16" spans="1:21">
      <c r="A16" s="44"/>
      <c r="B16" s="44"/>
      <c r="C16" s="44"/>
      <c r="D16" s="44"/>
      <c r="E16" s="44"/>
      <c r="F16" s="44"/>
      <c r="G16" s="44"/>
      <c r="H16" s="44"/>
      <c r="I16" s="44"/>
      <c r="J16" s="44"/>
      <c r="K16" s="45"/>
      <c r="L16" s="45"/>
      <c r="M16" s="46"/>
      <c r="N16" s="45"/>
      <c r="O16" s="46"/>
      <c r="P16" s="46"/>
      <c r="Q16" s="46"/>
      <c r="R16" s="44"/>
      <c r="S16" s="44"/>
      <c r="T16" s="44"/>
      <c r="U16" s="44"/>
    </row>
    <row r="17" spans="1:21">
      <c r="A17" s="44"/>
      <c r="B17" s="44"/>
      <c r="C17" s="44"/>
      <c r="D17" s="44"/>
      <c r="E17" s="44"/>
      <c r="F17" s="44"/>
      <c r="G17" s="44"/>
      <c r="H17" s="44"/>
      <c r="I17" s="44"/>
      <c r="J17" s="44"/>
      <c r="K17" s="45"/>
      <c r="L17" s="45"/>
      <c r="M17" s="46"/>
      <c r="N17" s="45"/>
      <c r="O17" s="46"/>
      <c r="P17" s="46"/>
      <c r="Q17" s="46"/>
      <c r="R17" s="44"/>
      <c r="S17" s="44"/>
      <c r="T17" s="44"/>
      <c r="U17" s="44"/>
    </row>
    <row r="18" spans="1:21">
      <c r="A18" s="44"/>
      <c r="B18" s="44"/>
      <c r="C18" s="44"/>
      <c r="D18" s="44"/>
      <c r="E18" s="44"/>
      <c r="F18" s="44"/>
      <c r="G18" s="44"/>
      <c r="H18" s="44"/>
      <c r="I18" s="44"/>
      <c r="J18" s="44"/>
      <c r="K18" s="45"/>
      <c r="L18" s="45"/>
      <c r="M18" s="46"/>
      <c r="N18" s="45"/>
      <c r="O18" s="46"/>
      <c r="P18" s="46"/>
      <c r="Q18" s="46"/>
      <c r="R18" s="44"/>
      <c r="S18" s="44"/>
      <c r="T18" s="44"/>
      <c r="U18" s="44"/>
    </row>
    <row r="19" spans="1:21">
      <c r="A19" s="44"/>
      <c r="B19" s="44"/>
      <c r="C19" s="44"/>
      <c r="D19" s="44"/>
      <c r="E19" s="44"/>
      <c r="F19" s="44"/>
      <c r="G19" s="44"/>
      <c r="H19" s="44"/>
      <c r="I19" s="44"/>
      <c r="J19" s="44"/>
      <c r="K19" s="45"/>
      <c r="L19" s="45"/>
      <c r="M19" s="46"/>
      <c r="N19" s="45"/>
      <c r="O19" s="46"/>
      <c r="P19" s="46"/>
      <c r="Q19" s="46"/>
      <c r="R19" s="44"/>
      <c r="S19" s="44"/>
      <c r="T19" s="44"/>
      <c r="U19" s="44"/>
    </row>
    <row r="20" spans="1:21">
      <c r="A20" s="44"/>
      <c r="B20" s="44"/>
      <c r="C20" s="44"/>
      <c r="D20" s="44"/>
      <c r="E20" s="44"/>
      <c r="F20" s="44"/>
      <c r="G20" s="44"/>
      <c r="H20" s="44"/>
      <c r="I20" s="44"/>
      <c r="J20" s="44"/>
      <c r="K20" s="45"/>
      <c r="L20" s="45"/>
      <c r="M20" s="46"/>
      <c r="N20" s="45"/>
      <c r="O20" s="46"/>
      <c r="P20" s="46"/>
      <c r="Q20" s="46"/>
      <c r="R20" s="44"/>
      <c r="S20" s="44"/>
      <c r="T20" s="44"/>
      <c r="U20" s="44"/>
    </row>
    <row r="21" spans="1:21">
      <c r="A21" s="44"/>
      <c r="B21" s="44"/>
      <c r="C21" s="44"/>
      <c r="D21" s="44"/>
      <c r="E21" s="44"/>
      <c r="F21" s="44"/>
      <c r="G21" s="44"/>
      <c r="H21" s="44"/>
      <c r="I21" s="44"/>
      <c r="J21" s="44"/>
      <c r="K21" s="45"/>
      <c r="L21" s="45"/>
      <c r="M21" s="46"/>
      <c r="N21" s="45"/>
      <c r="O21" s="46"/>
      <c r="P21" s="46"/>
      <c r="Q21" s="46"/>
      <c r="R21" s="44"/>
      <c r="S21" s="44"/>
      <c r="T21" s="44"/>
      <c r="U21" s="44"/>
    </row>
    <row r="22" spans="1:21">
      <c r="A22" s="44"/>
      <c r="B22" s="44"/>
      <c r="C22" s="44"/>
      <c r="D22" s="44"/>
      <c r="E22" s="44"/>
      <c r="F22" s="44"/>
      <c r="G22" s="44"/>
      <c r="H22" s="44"/>
      <c r="I22" s="44"/>
      <c r="J22" s="44"/>
      <c r="K22" s="45"/>
      <c r="L22" s="45"/>
      <c r="M22" s="46"/>
      <c r="N22" s="45"/>
      <c r="O22" s="46"/>
      <c r="P22" s="46"/>
      <c r="Q22" s="46"/>
      <c r="R22" s="44"/>
      <c r="S22" s="44"/>
      <c r="T22" s="44"/>
      <c r="U22" s="44"/>
    </row>
    <row r="23" spans="1:21">
      <c r="A23" s="44"/>
      <c r="B23" s="44"/>
      <c r="C23" s="44"/>
      <c r="D23" s="44"/>
      <c r="E23" s="44"/>
      <c r="F23" s="44"/>
      <c r="G23" s="44"/>
      <c r="H23" s="44"/>
      <c r="I23" s="44"/>
      <c r="J23" s="44"/>
      <c r="K23" s="45"/>
      <c r="L23" s="45"/>
      <c r="M23" s="46"/>
      <c r="N23" s="45"/>
      <c r="O23" s="46"/>
      <c r="P23" s="46"/>
      <c r="Q23" s="46"/>
      <c r="R23" s="44"/>
      <c r="S23" s="44"/>
      <c r="T23" s="44"/>
      <c r="U23" s="44"/>
    </row>
    <row r="24" spans="1:21">
      <c r="A24" s="44"/>
      <c r="B24" s="44"/>
      <c r="C24" s="44"/>
      <c r="D24" s="44"/>
      <c r="E24" s="44"/>
      <c r="F24" s="44"/>
      <c r="G24" s="44"/>
      <c r="H24" s="44"/>
      <c r="I24" s="44"/>
      <c r="J24" s="44"/>
      <c r="K24" s="45"/>
      <c r="L24" s="45"/>
      <c r="M24" s="46"/>
      <c r="N24" s="45"/>
      <c r="O24" s="46"/>
      <c r="P24" s="46"/>
      <c r="Q24" s="46"/>
      <c r="R24" s="44"/>
      <c r="S24" s="44"/>
      <c r="T24" s="44"/>
      <c r="U24" s="44"/>
    </row>
    <row r="25" spans="1:21">
      <c r="A25" s="44"/>
      <c r="B25" s="44"/>
      <c r="C25" s="44"/>
      <c r="D25" s="44"/>
      <c r="E25" s="44"/>
      <c r="F25" s="44"/>
      <c r="G25" s="44"/>
      <c r="H25" s="44"/>
      <c r="I25" s="44"/>
      <c r="J25" s="44"/>
      <c r="K25" s="45"/>
      <c r="L25" s="45"/>
      <c r="M25" s="46"/>
      <c r="N25" s="45"/>
      <c r="O25" s="46"/>
      <c r="P25" s="46"/>
      <c r="Q25" s="46"/>
      <c r="R25" s="44"/>
      <c r="S25" s="44"/>
      <c r="T25" s="44"/>
      <c r="U25" s="44"/>
    </row>
    <row r="26" spans="1:21">
      <c r="A26" s="44"/>
      <c r="B26" s="44"/>
      <c r="C26" s="44"/>
      <c r="D26" s="44"/>
      <c r="E26" s="44"/>
      <c r="F26" s="44"/>
      <c r="G26" s="44"/>
      <c r="H26" s="44"/>
      <c r="I26" s="44"/>
      <c r="J26" s="44"/>
      <c r="K26" s="45"/>
      <c r="L26" s="45"/>
      <c r="M26" s="46"/>
      <c r="N26" s="45"/>
      <c r="O26" s="46"/>
      <c r="P26" s="46"/>
      <c r="Q26" s="46"/>
      <c r="R26" s="44"/>
      <c r="S26" s="44"/>
      <c r="T26" s="44"/>
      <c r="U26" s="44"/>
    </row>
    <row r="27" spans="1:21">
      <c r="A27" s="44"/>
      <c r="B27" s="44"/>
      <c r="C27" s="44"/>
      <c r="D27" s="44"/>
      <c r="E27" s="44"/>
      <c r="F27" s="44"/>
      <c r="G27" s="44"/>
      <c r="H27" s="44"/>
      <c r="I27" s="44"/>
      <c r="J27" s="44"/>
      <c r="K27" s="45"/>
      <c r="L27" s="45"/>
      <c r="M27" s="46"/>
      <c r="N27" s="45"/>
      <c r="O27" s="46"/>
      <c r="P27" s="46"/>
      <c r="Q27" s="46"/>
      <c r="R27" s="44"/>
      <c r="S27" s="44"/>
      <c r="T27" s="44"/>
      <c r="U27" s="44"/>
    </row>
    <row r="28" spans="1:21">
      <c r="A28" s="44"/>
      <c r="B28" s="44"/>
      <c r="C28" s="44"/>
      <c r="D28" s="44"/>
      <c r="E28" s="44"/>
      <c r="F28" s="44"/>
      <c r="G28" s="44"/>
      <c r="H28" s="44"/>
      <c r="I28" s="44"/>
      <c r="J28" s="44"/>
      <c r="K28" s="45"/>
      <c r="L28" s="45"/>
      <c r="M28" s="46"/>
      <c r="N28" s="45"/>
      <c r="O28" s="46"/>
      <c r="P28" s="46"/>
      <c r="Q28" s="46"/>
      <c r="R28" s="44"/>
      <c r="S28" s="44"/>
      <c r="T28" s="44"/>
      <c r="U28" s="44"/>
    </row>
    <row r="29" spans="1:21">
      <c r="A29" s="44"/>
      <c r="B29" s="44"/>
      <c r="C29" s="44"/>
      <c r="D29" s="44"/>
      <c r="E29" s="44"/>
      <c r="F29" s="44"/>
      <c r="G29" s="44"/>
      <c r="H29" s="44"/>
      <c r="I29" s="44"/>
      <c r="J29" s="44"/>
      <c r="K29" s="45"/>
      <c r="L29" s="45"/>
      <c r="M29" s="46"/>
      <c r="N29" s="45"/>
      <c r="O29" s="46"/>
      <c r="P29" s="46"/>
      <c r="Q29" s="46"/>
      <c r="R29" s="44"/>
      <c r="S29" s="44"/>
      <c r="T29" s="44"/>
      <c r="U29" s="44"/>
    </row>
    <row r="30" spans="1:21">
      <c r="A30" s="44"/>
      <c r="B30" s="44"/>
      <c r="C30" s="44"/>
      <c r="D30" s="44"/>
      <c r="E30" s="44"/>
      <c r="F30" s="44"/>
      <c r="G30" s="44"/>
      <c r="H30" s="44"/>
      <c r="I30" s="44"/>
      <c r="J30" s="44"/>
      <c r="K30" s="45"/>
      <c r="L30" s="45"/>
      <c r="M30" s="46"/>
      <c r="N30" s="45"/>
      <c r="O30" s="46"/>
      <c r="P30" s="46"/>
      <c r="Q30" s="46"/>
      <c r="R30" s="44"/>
      <c r="S30" s="44"/>
      <c r="T30" s="44"/>
      <c r="U30" s="44"/>
    </row>
    <row r="31" spans="1:21">
      <c r="A31" s="44"/>
      <c r="B31" s="44"/>
      <c r="C31" s="44"/>
      <c r="D31" s="44"/>
      <c r="E31" s="44"/>
      <c r="F31" s="44"/>
      <c r="G31" s="44"/>
      <c r="H31" s="44"/>
      <c r="I31" s="44"/>
      <c r="J31" s="44"/>
      <c r="K31" s="45"/>
      <c r="L31" s="45"/>
      <c r="M31" s="46"/>
      <c r="N31" s="45"/>
      <c r="O31" s="46"/>
      <c r="P31" s="46"/>
      <c r="Q31" s="46"/>
      <c r="R31" s="44"/>
      <c r="S31" s="44"/>
      <c r="T31" s="44"/>
      <c r="U31" s="44"/>
    </row>
    <row r="32" spans="1:21">
      <c r="A32" s="44"/>
      <c r="B32" s="44"/>
      <c r="C32" s="44"/>
      <c r="D32" s="44"/>
      <c r="E32" s="44"/>
      <c r="F32" s="44"/>
      <c r="G32" s="44"/>
      <c r="H32" s="44"/>
      <c r="I32" s="44"/>
      <c r="J32" s="44"/>
      <c r="K32" s="45"/>
      <c r="L32" s="45"/>
      <c r="M32" s="46"/>
      <c r="N32" s="45"/>
      <c r="O32" s="46"/>
      <c r="P32" s="46"/>
      <c r="Q32" s="46"/>
      <c r="R32" s="44"/>
      <c r="S32" s="44"/>
      <c r="T32" s="44"/>
      <c r="U32" s="44"/>
    </row>
    <row r="33" spans="1:21">
      <c r="A33" s="44"/>
      <c r="B33" s="44"/>
      <c r="C33" s="44"/>
      <c r="D33" s="44"/>
      <c r="E33" s="44"/>
      <c r="F33" s="44"/>
      <c r="G33" s="44"/>
      <c r="H33" s="44"/>
      <c r="I33" s="44"/>
      <c r="J33" s="44"/>
      <c r="K33" s="45"/>
      <c r="L33" s="45"/>
      <c r="M33" s="46"/>
      <c r="N33" s="45"/>
      <c r="O33" s="46"/>
      <c r="P33" s="46"/>
      <c r="Q33" s="46"/>
      <c r="R33" s="44"/>
      <c r="S33" s="44"/>
      <c r="T33" s="44"/>
      <c r="U33" s="44"/>
    </row>
  </sheetData>
  <sheetProtection autoFilter="0"/>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41A5B34B-48A6-4DCC-9EA7-326A4B4CDC9A}">
          <x14:formula1>
            <xm:f>Lists!$A$2:$A$6</xm:f>
          </x14:formula1>
          <xm:sqref>E2:E6</xm:sqref>
        </x14:dataValidation>
        <x14:dataValidation type="list" allowBlank="1" showInputMessage="1" showErrorMessage="1" xr:uid="{ED276687-FFF6-48AD-9973-DD4A53E5E6F2}">
          <x14:formula1>
            <xm:f>Lists!$B$2:$B$3</xm:f>
          </x14:formula1>
          <xm:sqref>F2:F6</xm:sqref>
        </x14:dataValidation>
        <x14:dataValidation type="list" allowBlank="1" showInputMessage="1" showErrorMessage="1" xr:uid="{810F5466-BA3C-4292-9541-AE09E31C2131}">
          <x14:formula1>
            <xm:f>Lists!$C$2:$C$3</xm:f>
          </x14:formula1>
          <xm:sqref>L2:L6</xm:sqref>
        </x14:dataValidation>
        <x14:dataValidation type="list" allowBlank="1" showInputMessage="1" showErrorMessage="1" xr:uid="{717102A6-1C14-402A-A44F-11768B6E3C74}">
          <x14:formula1>
            <xm:f>Lists!$D$2:$D$4</xm:f>
          </x14:formula1>
          <xm:sqref>N2:N6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E0BA9-010A-48E2-AFFE-14178A7BBEED}">
  <sheetPr>
    <tabColor theme="3" tint="0.249977111117893"/>
  </sheetPr>
  <dimension ref="A1:XFC632"/>
  <sheetViews>
    <sheetView zoomScale="85" zoomScaleNormal="85" workbookViewId="0">
      <pane xSplit="4" ySplit="1" topLeftCell="G2" activePane="bottomRight" state="frozen"/>
      <selection activeCell="E29" sqref="E29"/>
      <selection pane="topRight" activeCell="E29" sqref="E29"/>
      <selection pane="bottomLeft" activeCell="E29" sqref="E29"/>
      <selection pane="bottomRight" activeCell="D8" sqref="D8"/>
    </sheetView>
  </sheetViews>
  <sheetFormatPr defaultColWidth="8.75" defaultRowHeight="15"/>
  <cols>
    <col min="1" max="1" width="15.75" style="47" customWidth="1"/>
    <col min="2" max="2" width="17" style="1" customWidth="1"/>
    <col min="3" max="3" width="9.875" style="11" customWidth="1"/>
    <col min="4" max="6" width="42.375" style="1" customWidth="1"/>
    <col min="7" max="7" width="20.625" style="47" customWidth="1"/>
    <col min="8" max="8" width="20.125" style="47" customWidth="1"/>
    <col min="9" max="9" width="36" style="47" customWidth="1"/>
    <col min="10" max="10" width="13.75" style="52" customWidth="1"/>
    <col min="11" max="11" width="34" style="47" customWidth="1"/>
    <col min="12" max="12" width="38" style="47" customWidth="1"/>
    <col min="13" max="13" width="21.125" style="47" customWidth="1"/>
    <col min="14" max="14" width="34" style="47" customWidth="1"/>
    <col min="15" max="15" width="14.375" style="47" customWidth="1"/>
    <col min="16" max="16" width="11.125" style="52" customWidth="1"/>
    <col min="17" max="18" width="22" style="47" customWidth="1"/>
    <col min="19" max="16384" width="8.75" style="47"/>
  </cols>
  <sheetData>
    <row r="1" spans="1:1024 1029:2044 2050:3070 3076:4096 4102:5115 5122:6141 6148:7167 7174:8188 8193:9214 9219:10240 10245:11260 11266:12286 12292:13312 13318:14331 14338:15357 15364:16383" s="43" customFormat="1" ht="47.25">
      <c r="A1" s="12" t="s">
        <v>4</v>
      </c>
      <c r="B1" s="12" t="s">
        <v>30</v>
      </c>
      <c r="C1" s="12" t="s">
        <v>31</v>
      </c>
      <c r="D1" s="12" t="s">
        <v>32</v>
      </c>
      <c r="E1" s="12" t="s">
        <v>33</v>
      </c>
      <c r="F1" s="12" t="s">
        <v>526</v>
      </c>
      <c r="G1" s="12" t="s">
        <v>34</v>
      </c>
      <c r="H1" s="12" t="s">
        <v>35</v>
      </c>
      <c r="I1" s="12" t="s">
        <v>36</v>
      </c>
      <c r="J1" s="12" t="s">
        <v>37</v>
      </c>
      <c r="K1" s="12" t="s">
        <v>38</v>
      </c>
      <c r="L1" s="12" t="s">
        <v>39</v>
      </c>
      <c r="M1" s="12" t="s">
        <v>40</v>
      </c>
      <c r="N1" s="12" t="s">
        <v>41</v>
      </c>
      <c r="O1" s="12" t="s">
        <v>42</v>
      </c>
      <c r="P1" s="12" t="s">
        <v>43</v>
      </c>
      <c r="Q1" s="12" t="s">
        <v>12</v>
      </c>
      <c r="R1" s="12" t="s">
        <v>7</v>
      </c>
    </row>
    <row r="2" spans="1:1024 1029:2044 2050:3070 3076:4096 4102:5115 5122:6141 6148:7167 7174:8188 8193:9214 9219:10240 10245:11260 11266:12286 12292:13312 13318:14331 14338:15357 15364:16383" s="53" customFormat="1" ht="60">
      <c r="A2" s="53" t="s">
        <v>18</v>
      </c>
      <c r="B2" s="3" t="s">
        <v>44</v>
      </c>
      <c r="C2" s="9" t="s">
        <v>45</v>
      </c>
      <c r="D2" s="3" t="s">
        <v>46</v>
      </c>
      <c r="E2" s="3" t="s">
        <v>47</v>
      </c>
      <c r="F2" s="3" t="s">
        <v>48</v>
      </c>
      <c r="J2" s="54"/>
      <c r="P2" s="54"/>
      <c r="Q2" s="53" t="str">
        <f>IF('Review Register'!M2="","",'Review Register'!M2)</f>
        <v/>
      </c>
      <c r="R2" s="53" t="str">
        <f>IF('Review Register'!D2="","",'Review Register'!D2)</f>
        <v/>
      </c>
      <c r="U2" s="54"/>
      <c r="AB2" s="54"/>
      <c r="AH2" s="54"/>
      <c r="AM2" s="54"/>
      <c r="AT2" s="54"/>
      <c r="AZ2" s="54"/>
      <c r="BE2" s="54"/>
      <c r="BL2" s="54"/>
      <c r="BR2" s="54"/>
      <c r="BW2" s="54"/>
      <c r="CD2" s="54"/>
      <c r="CJ2" s="54"/>
      <c r="CO2" s="54"/>
      <c r="CV2" s="54"/>
      <c r="DB2" s="54"/>
      <c r="DG2" s="54"/>
      <c r="DN2" s="54"/>
      <c r="DT2" s="54"/>
      <c r="DY2" s="54"/>
      <c r="EF2" s="54"/>
      <c r="EL2" s="54"/>
      <c r="EQ2" s="54"/>
      <c r="EX2" s="54"/>
      <c r="FD2" s="54"/>
      <c r="FI2" s="54"/>
      <c r="FP2" s="54"/>
      <c r="FV2" s="54"/>
      <c r="GA2" s="54"/>
      <c r="GH2" s="54"/>
      <c r="GN2" s="54"/>
      <c r="GS2" s="54"/>
      <c r="GZ2" s="54"/>
      <c r="HF2" s="54"/>
      <c r="HK2" s="54"/>
      <c r="HR2" s="54"/>
      <c r="HX2" s="54"/>
      <c r="IC2" s="54"/>
      <c r="IJ2" s="54"/>
      <c r="IP2" s="54"/>
      <c r="IU2" s="54"/>
      <c r="JB2" s="54"/>
      <c r="JH2" s="54"/>
      <c r="JM2" s="54"/>
      <c r="JT2" s="54"/>
      <c r="JZ2" s="54"/>
      <c r="KE2" s="54"/>
      <c r="KL2" s="54"/>
      <c r="KR2" s="54"/>
      <c r="KW2" s="54"/>
      <c r="LD2" s="54"/>
      <c r="LJ2" s="54"/>
      <c r="LO2" s="54"/>
      <c r="LV2" s="54"/>
      <c r="MB2" s="54"/>
      <c r="MG2" s="54"/>
      <c r="MN2" s="54"/>
      <c r="MT2" s="54"/>
      <c r="MY2" s="54"/>
      <c r="NF2" s="54"/>
      <c r="NL2" s="54"/>
      <c r="NQ2" s="54"/>
      <c r="NX2" s="54"/>
      <c r="OD2" s="54"/>
      <c r="OI2" s="54"/>
      <c r="OP2" s="54"/>
      <c r="OV2" s="54"/>
      <c r="PA2" s="54"/>
      <c r="PH2" s="54"/>
      <c r="PN2" s="54"/>
      <c r="PS2" s="54"/>
      <c r="PZ2" s="54"/>
      <c r="QF2" s="54"/>
      <c r="QK2" s="54"/>
      <c r="QR2" s="54"/>
      <c r="QX2" s="54"/>
      <c r="RC2" s="54"/>
      <c r="RJ2" s="54"/>
      <c r="RP2" s="54"/>
      <c r="RU2" s="54"/>
      <c r="SB2" s="54"/>
      <c r="SH2" s="54"/>
      <c r="SM2" s="54"/>
      <c r="ST2" s="54"/>
      <c r="SZ2" s="54"/>
      <c r="TE2" s="54"/>
      <c r="TL2" s="54"/>
      <c r="TR2" s="54"/>
      <c r="TW2" s="54"/>
      <c r="UD2" s="54"/>
      <c r="UJ2" s="54"/>
      <c r="UO2" s="54"/>
      <c r="UV2" s="54"/>
      <c r="VB2" s="54"/>
      <c r="VG2" s="54"/>
      <c r="VN2" s="54"/>
      <c r="VT2" s="54"/>
      <c r="VY2" s="54"/>
      <c r="WF2" s="54"/>
      <c r="WL2" s="54"/>
      <c r="WQ2" s="54"/>
      <c r="WX2" s="54"/>
      <c r="XD2" s="54"/>
      <c r="XI2" s="54"/>
      <c r="XP2" s="54"/>
      <c r="XV2" s="54"/>
      <c r="YA2" s="54"/>
      <c r="YH2" s="54"/>
      <c r="YN2" s="54"/>
      <c r="YS2" s="54"/>
      <c r="YZ2" s="54"/>
      <c r="ZF2" s="54"/>
      <c r="ZK2" s="54"/>
      <c r="ZR2" s="54"/>
      <c r="ZX2" s="54"/>
      <c r="AAC2" s="54"/>
      <c r="AAJ2" s="54"/>
      <c r="AAP2" s="54"/>
      <c r="AAU2" s="54"/>
      <c r="ABB2" s="54"/>
      <c r="ABH2" s="54"/>
      <c r="ABM2" s="54"/>
      <c r="ABT2" s="54"/>
      <c r="ABZ2" s="54"/>
      <c r="ACE2" s="54"/>
      <c r="ACL2" s="54"/>
      <c r="ACR2" s="54"/>
      <c r="ACW2" s="54"/>
      <c r="ADD2" s="54"/>
      <c r="ADJ2" s="54"/>
      <c r="ADO2" s="54"/>
      <c r="ADV2" s="54"/>
      <c r="AEB2" s="54"/>
      <c r="AEG2" s="54"/>
      <c r="AEN2" s="54"/>
      <c r="AET2" s="54"/>
      <c r="AEY2" s="54"/>
      <c r="AFF2" s="54"/>
      <c r="AFL2" s="54"/>
      <c r="AFQ2" s="54"/>
      <c r="AFX2" s="54"/>
      <c r="AGD2" s="54"/>
      <c r="AGI2" s="54"/>
      <c r="AGP2" s="54"/>
      <c r="AGV2" s="54"/>
      <c r="AHA2" s="54"/>
      <c r="AHH2" s="54"/>
      <c r="AHN2" s="54"/>
      <c r="AHS2" s="54"/>
      <c r="AHZ2" s="54"/>
      <c r="AIF2" s="54"/>
      <c r="AIK2" s="54"/>
      <c r="AIR2" s="54"/>
      <c r="AIX2" s="54"/>
      <c r="AJC2" s="54"/>
      <c r="AJJ2" s="54"/>
      <c r="AJP2" s="54"/>
      <c r="AJU2" s="54"/>
      <c r="AKB2" s="54"/>
      <c r="AKH2" s="54"/>
      <c r="AKM2" s="54"/>
      <c r="AKT2" s="54"/>
      <c r="AKZ2" s="54"/>
      <c r="ALE2" s="54"/>
      <c r="ALL2" s="54"/>
      <c r="ALR2" s="54"/>
      <c r="ALW2" s="54"/>
      <c r="AMD2" s="54"/>
      <c r="AMJ2" s="54"/>
      <c r="AMO2" s="54"/>
      <c r="AMV2" s="54"/>
      <c r="ANB2" s="54"/>
      <c r="ANG2" s="54"/>
      <c r="ANN2" s="54"/>
      <c r="ANT2" s="54"/>
      <c r="ANY2" s="54"/>
      <c r="AOF2" s="54"/>
      <c r="AOL2" s="54"/>
      <c r="AOQ2" s="54"/>
      <c r="AOX2" s="54"/>
      <c r="APD2" s="54"/>
      <c r="API2" s="54"/>
      <c r="APP2" s="54"/>
      <c r="APV2" s="54"/>
      <c r="AQA2" s="54"/>
      <c r="AQH2" s="54"/>
      <c r="AQN2" s="54"/>
      <c r="AQS2" s="54"/>
      <c r="AQZ2" s="54"/>
      <c r="ARF2" s="54"/>
      <c r="ARK2" s="54"/>
      <c r="ARR2" s="54"/>
      <c r="ARX2" s="54"/>
      <c r="ASC2" s="54"/>
      <c r="ASJ2" s="54"/>
      <c r="ASP2" s="54"/>
      <c r="ASU2" s="54"/>
      <c r="ATB2" s="54"/>
      <c r="ATH2" s="54"/>
      <c r="ATM2" s="54"/>
      <c r="ATT2" s="54"/>
      <c r="ATZ2" s="54"/>
      <c r="AUE2" s="54"/>
      <c r="AUL2" s="54"/>
      <c r="AUR2" s="54"/>
      <c r="AUW2" s="54"/>
      <c r="AVD2" s="54"/>
      <c r="AVJ2" s="54"/>
      <c r="AVO2" s="54"/>
      <c r="AVV2" s="54"/>
      <c r="AWB2" s="54"/>
      <c r="AWG2" s="54"/>
      <c r="AWN2" s="54"/>
      <c r="AWT2" s="54"/>
      <c r="AWY2" s="54"/>
      <c r="AXF2" s="54"/>
      <c r="AXL2" s="54"/>
      <c r="AXQ2" s="54"/>
      <c r="AXX2" s="54"/>
      <c r="AYD2" s="54"/>
      <c r="AYI2" s="54"/>
      <c r="AYP2" s="54"/>
      <c r="AYV2" s="54"/>
      <c r="AZA2" s="54"/>
      <c r="AZH2" s="54"/>
      <c r="AZN2" s="54"/>
      <c r="AZS2" s="54"/>
      <c r="AZZ2" s="54"/>
      <c r="BAF2" s="54"/>
      <c r="BAK2" s="54"/>
      <c r="BAR2" s="54"/>
      <c r="BAX2" s="54"/>
      <c r="BBC2" s="54"/>
      <c r="BBJ2" s="54"/>
      <c r="BBP2" s="54"/>
      <c r="BBU2" s="54"/>
      <c r="BCB2" s="54"/>
      <c r="BCH2" s="54"/>
      <c r="BCM2" s="54"/>
      <c r="BCT2" s="54"/>
      <c r="BCZ2" s="54"/>
      <c r="BDE2" s="54"/>
      <c r="BDL2" s="54"/>
      <c r="BDR2" s="54"/>
      <c r="BDW2" s="54"/>
      <c r="BED2" s="54"/>
      <c r="BEJ2" s="54"/>
      <c r="BEO2" s="54"/>
      <c r="BEV2" s="54"/>
      <c r="BFB2" s="54"/>
      <c r="BFG2" s="54"/>
      <c r="BFN2" s="54"/>
      <c r="BFT2" s="54"/>
      <c r="BFY2" s="54"/>
      <c r="BGF2" s="54"/>
      <c r="BGL2" s="54"/>
      <c r="BGQ2" s="54"/>
      <c r="BGX2" s="54"/>
      <c r="BHD2" s="54"/>
      <c r="BHI2" s="54"/>
      <c r="BHP2" s="54"/>
      <c r="BHV2" s="54"/>
      <c r="BIA2" s="54"/>
      <c r="BIH2" s="54"/>
      <c r="BIN2" s="54"/>
      <c r="BIS2" s="54"/>
      <c r="BIZ2" s="54"/>
      <c r="BJF2" s="54"/>
      <c r="BJK2" s="54"/>
      <c r="BJR2" s="54"/>
      <c r="BJX2" s="54"/>
      <c r="BKC2" s="54"/>
      <c r="BKJ2" s="54"/>
      <c r="BKP2" s="54"/>
      <c r="BKU2" s="54"/>
      <c r="BLB2" s="54"/>
      <c r="BLH2" s="54"/>
      <c r="BLM2" s="54"/>
      <c r="BLT2" s="54"/>
      <c r="BLZ2" s="54"/>
      <c r="BME2" s="54"/>
      <c r="BML2" s="54"/>
      <c r="BMR2" s="54"/>
      <c r="BMW2" s="54"/>
      <c r="BND2" s="54"/>
      <c r="BNJ2" s="54"/>
      <c r="BNO2" s="54"/>
      <c r="BNV2" s="54"/>
      <c r="BOB2" s="54"/>
      <c r="BOG2" s="54"/>
      <c r="BON2" s="54"/>
      <c r="BOT2" s="54"/>
      <c r="BOY2" s="54"/>
      <c r="BPF2" s="54"/>
      <c r="BPL2" s="54"/>
      <c r="BPQ2" s="54"/>
      <c r="BPX2" s="54"/>
      <c r="BQD2" s="54"/>
      <c r="BQI2" s="54"/>
      <c r="BQP2" s="54"/>
      <c r="BQV2" s="54"/>
      <c r="BRA2" s="54"/>
      <c r="BRH2" s="54"/>
      <c r="BRN2" s="54"/>
      <c r="BRS2" s="54"/>
      <c r="BRZ2" s="54"/>
      <c r="BSF2" s="54"/>
      <c r="BSK2" s="54"/>
      <c r="BSR2" s="54"/>
      <c r="BSX2" s="54"/>
      <c r="BTC2" s="54"/>
      <c r="BTJ2" s="54"/>
      <c r="BTP2" s="54"/>
      <c r="BTU2" s="54"/>
      <c r="BUB2" s="54"/>
      <c r="BUH2" s="54"/>
      <c r="BUM2" s="54"/>
      <c r="BUT2" s="54"/>
      <c r="BUZ2" s="54"/>
      <c r="BVE2" s="54"/>
      <c r="BVL2" s="54"/>
      <c r="BVR2" s="54"/>
      <c r="BVW2" s="54"/>
      <c r="BWD2" s="54"/>
      <c r="BWJ2" s="54"/>
      <c r="BWO2" s="54"/>
      <c r="BWV2" s="54"/>
      <c r="BXB2" s="54"/>
      <c r="BXG2" s="54"/>
      <c r="BXN2" s="54"/>
      <c r="BXT2" s="54"/>
      <c r="BXY2" s="54"/>
      <c r="BYF2" s="54"/>
      <c r="BYL2" s="54"/>
      <c r="BYQ2" s="54"/>
      <c r="BYX2" s="54"/>
      <c r="BZD2" s="54"/>
      <c r="BZI2" s="54"/>
      <c r="BZP2" s="54"/>
      <c r="BZV2" s="54"/>
      <c r="CAA2" s="54"/>
      <c r="CAH2" s="54"/>
      <c r="CAN2" s="54"/>
      <c r="CAS2" s="54"/>
      <c r="CAZ2" s="54"/>
      <c r="CBF2" s="54"/>
      <c r="CBK2" s="54"/>
      <c r="CBR2" s="54"/>
      <c r="CBX2" s="54"/>
      <c r="CCC2" s="54"/>
      <c r="CCJ2" s="54"/>
      <c r="CCP2" s="54"/>
      <c r="CCU2" s="54"/>
      <c r="CDB2" s="54"/>
      <c r="CDH2" s="54"/>
      <c r="CDM2" s="54"/>
      <c r="CDT2" s="54"/>
      <c r="CDZ2" s="54"/>
      <c r="CEE2" s="54"/>
      <c r="CEL2" s="54"/>
      <c r="CER2" s="54"/>
      <c r="CEW2" s="54"/>
      <c r="CFD2" s="54"/>
      <c r="CFJ2" s="54"/>
      <c r="CFO2" s="54"/>
      <c r="CFV2" s="54"/>
      <c r="CGB2" s="54"/>
      <c r="CGG2" s="54"/>
      <c r="CGN2" s="54"/>
      <c r="CGT2" s="54"/>
      <c r="CGY2" s="54"/>
      <c r="CHF2" s="54"/>
      <c r="CHL2" s="54"/>
      <c r="CHQ2" s="54"/>
      <c r="CHX2" s="54"/>
      <c r="CID2" s="54"/>
      <c r="CII2" s="54"/>
      <c r="CIP2" s="54"/>
      <c r="CIV2" s="54"/>
      <c r="CJA2" s="54"/>
      <c r="CJH2" s="54"/>
      <c r="CJN2" s="54"/>
      <c r="CJS2" s="54"/>
      <c r="CJZ2" s="54"/>
      <c r="CKF2" s="54"/>
      <c r="CKK2" s="54"/>
      <c r="CKR2" s="54"/>
      <c r="CKX2" s="54"/>
      <c r="CLC2" s="54"/>
      <c r="CLJ2" s="54"/>
      <c r="CLP2" s="54"/>
      <c r="CLU2" s="54"/>
      <c r="CMB2" s="54"/>
      <c r="CMH2" s="54"/>
      <c r="CMM2" s="54"/>
      <c r="CMT2" s="54"/>
      <c r="CMZ2" s="54"/>
      <c r="CNE2" s="54"/>
      <c r="CNL2" s="54"/>
      <c r="CNR2" s="54"/>
      <c r="CNW2" s="54"/>
      <c r="COD2" s="54"/>
      <c r="COJ2" s="54"/>
      <c r="COO2" s="54"/>
      <c r="COV2" s="54"/>
      <c r="CPB2" s="54"/>
      <c r="CPG2" s="54"/>
      <c r="CPN2" s="54"/>
      <c r="CPT2" s="54"/>
      <c r="CPY2" s="54"/>
      <c r="CQF2" s="54"/>
      <c r="CQL2" s="54"/>
      <c r="CQQ2" s="54"/>
      <c r="CQX2" s="54"/>
      <c r="CRD2" s="54"/>
      <c r="CRI2" s="54"/>
      <c r="CRP2" s="54"/>
      <c r="CRV2" s="54"/>
      <c r="CSA2" s="54"/>
      <c r="CSH2" s="54"/>
      <c r="CSN2" s="54"/>
      <c r="CSS2" s="54"/>
      <c r="CSZ2" s="54"/>
      <c r="CTF2" s="54"/>
      <c r="CTK2" s="54"/>
      <c r="CTR2" s="54"/>
      <c r="CTX2" s="54"/>
      <c r="CUC2" s="54"/>
      <c r="CUJ2" s="54"/>
      <c r="CUP2" s="54"/>
      <c r="CUU2" s="54"/>
      <c r="CVB2" s="54"/>
      <c r="CVH2" s="54"/>
      <c r="CVM2" s="54"/>
      <c r="CVT2" s="54"/>
      <c r="CVZ2" s="54"/>
      <c r="CWE2" s="54"/>
      <c r="CWL2" s="54"/>
      <c r="CWR2" s="54"/>
      <c r="CWW2" s="54"/>
      <c r="CXD2" s="54"/>
      <c r="CXJ2" s="54"/>
      <c r="CXO2" s="54"/>
      <c r="CXV2" s="54"/>
      <c r="CYB2" s="54"/>
      <c r="CYG2" s="54"/>
      <c r="CYN2" s="54"/>
      <c r="CYT2" s="54"/>
      <c r="CYY2" s="54"/>
      <c r="CZF2" s="54"/>
      <c r="CZL2" s="54"/>
      <c r="CZQ2" s="54"/>
      <c r="CZX2" s="54"/>
      <c r="DAD2" s="54"/>
      <c r="DAI2" s="54"/>
      <c r="DAP2" s="54"/>
      <c r="DAV2" s="54"/>
      <c r="DBA2" s="54"/>
      <c r="DBH2" s="54"/>
      <c r="DBN2" s="54"/>
      <c r="DBS2" s="54"/>
      <c r="DBZ2" s="54"/>
      <c r="DCF2" s="54"/>
      <c r="DCK2" s="54"/>
      <c r="DCR2" s="54"/>
      <c r="DCX2" s="54"/>
      <c r="DDC2" s="54"/>
      <c r="DDJ2" s="54"/>
      <c r="DDP2" s="54"/>
      <c r="DDU2" s="54"/>
      <c r="DEB2" s="54"/>
      <c r="DEH2" s="54"/>
      <c r="DEM2" s="54"/>
      <c r="DET2" s="54"/>
      <c r="DEZ2" s="54"/>
      <c r="DFE2" s="54"/>
      <c r="DFL2" s="54"/>
      <c r="DFR2" s="54"/>
      <c r="DFW2" s="54"/>
      <c r="DGD2" s="54"/>
      <c r="DGJ2" s="54"/>
      <c r="DGO2" s="54"/>
      <c r="DGV2" s="54"/>
      <c r="DHB2" s="54"/>
      <c r="DHG2" s="54"/>
      <c r="DHN2" s="54"/>
      <c r="DHT2" s="54"/>
      <c r="DHY2" s="54"/>
      <c r="DIF2" s="54"/>
      <c r="DIL2" s="54"/>
      <c r="DIQ2" s="54"/>
      <c r="DIX2" s="54"/>
      <c r="DJD2" s="54"/>
      <c r="DJI2" s="54"/>
      <c r="DJP2" s="54"/>
      <c r="DJV2" s="54"/>
      <c r="DKA2" s="54"/>
      <c r="DKH2" s="54"/>
      <c r="DKN2" s="54"/>
      <c r="DKS2" s="54"/>
      <c r="DKZ2" s="54"/>
      <c r="DLF2" s="54"/>
      <c r="DLK2" s="54"/>
      <c r="DLR2" s="54"/>
      <c r="DLX2" s="54"/>
      <c r="DMC2" s="54"/>
      <c r="DMJ2" s="54"/>
      <c r="DMP2" s="54"/>
      <c r="DMU2" s="54"/>
      <c r="DNB2" s="54"/>
      <c r="DNH2" s="54"/>
      <c r="DNM2" s="54"/>
      <c r="DNT2" s="54"/>
      <c r="DNZ2" s="54"/>
      <c r="DOE2" s="54"/>
      <c r="DOL2" s="54"/>
      <c r="DOR2" s="54"/>
      <c r="DOW2" s="54"/>
      <c r="DPD2" s="54"/>
      <c r="DPJ2" s="54"/>
      <c r="DPO2" s="54"/>
      <c r="DPV2" s="54"/>
      <c r="DQB2" s="54"/>
      <c r="DQG2" s="54"/>
      <c r="DQN2" s="54"/>
      <c r="DQT2" s="54"/>
      <c r="DQY2" s="54"/>
      <c r="DRF2" s="54"/>
      <c r="DRL2" s="54"/>
      <c r="DRQ2" s="54"/>
      <c r="DRX2" s="54"/>
      <c r="DSD2" s="54"/>
      <c r="DSI2" s="54"/>
      <c r="DSP2" s="54"/>
      <c r="DSV2" s="54"/>
      <c r="DTA2" s="54"/>
      <c r="DTH2" s="54"/>
      <c r="DTN2" s="54"/>
      <c r="DTS2" s="54"/>
      <c r="DTZ2" s="54"/>
      <c r="DUF2" s="54"/>
      <c r="DUK2" s="54"/>
      <c r="DUR2" s="54"/>
      <c r="DUX2" s="54"/>
      <c r="DVC2" s="54"/>
      <c r="DVJ2" s="54"/>
      <c r="DVP2" s="54"/>
      <c r="DVU2" s="54"/>
      <c r="DWB2" s="54"/>
      <c r="DWH2" s="54"/>
      <c r="DWM2" s="54"/>
      <c r="DWT2" s="54"/>
      <c r="DWZ2" s="54"/>
      <c r="DXE2" s="54"/>
      <c r="DXL2" s="54"/>
      <c r="DXR2" s="54"/>
      <c r="DXW2" s="54"/>
      <c r="DYD2" s="54"/>
      <c r="DYJ2" s="54"/>
      <c r="DYO2" s="54"/>
      <c r="DYV2" s="54"/>
      <c r="DZB2" s="54"/>
      <c r="DZG2" s="54"/>
      <c r="DZN2" s="54"/>
      <c r="DZT2" s="54"/>
      <c r="DZY2" s="54"/>
      <c r="EAF2" s="54"/>
      <c r="EAL2" s="54"/>
      <c r="EAQ2" s="54"/>
      <c r="EAX2" s="54"/>
      <c r="EBD2" s="54"/>
      <c r="EBI2" s="54"/>
      <c r="EBP2" s="54"/>
      <c r="EBV2" s="54"/>
      <c r="ECA2" s="54"/>
      <c r="ECH2" s="54"/>
      <c r="ECN2" s="54"/>
      <c r="ECS2" s="54"/>
      <c r="ECZ2" s="54"/>
      <c r="EDF2" s="54"/>
      <c r="EDK2" s="54"/>
      <c r="EDR2" s="54"/>
      <c r="EDX2" s="54"/>
      <c r="EEC2" s="54"/>
      <c r="EEJ2" s="54"/>
      <c r="EEP2" s="54"/>
      <c r="EEU2" s="54"/>
      <c r="EFB2" s="54"/>
      <c r="EFH2" s="54"/>
      <c r="EFM2" s="54"/>
      <c r="EFT2" s="54"/>
      <c r="EFZ2" s="54"/>
      <c r="EGE2" s="54"/>
      <c r="EGL2" s="54"/>
      <c r="EGR2" s="54"/>
      <c r="EGW2" s="54"/>
      <c r="EHD2" s="54"/>
      <c r="EHJ2" s="54"/>
      <c r="EHO2" s="54"/>
      <c r="EHV2" s="54"/>
      <c r="EIB2" s="54"/>
      <c r="EIG2" s="54"/>
      <c r="EIN2" s="54"/>
      <c r="EIT2" s="54"/>
      <c r="EIY2" s="54"/>
      <c r="EJF2" s="54"/>
      <c r="EJL2" s="54"/>
      <c r="EJQ2" s="54"/>
      <c r="EJX2" s="54"/>
      <c r="EKD2" s="54"/>
      <c r="EKI2" s="54"/>
      <c r="EKP2" s="54"/>
      <c r="EKV2" s="54"/>
      <c r="ELA2" s="54"/>
      <c r="ELH2" s="54"/>
      <c r="ELN2" s="54"/>
      <c r="ELS2" s="54"/>
      <c r="ELZ2" s="54"/>
      <c r="EMF2" s="54"/>
      <c r="EMK2" s="54"/>
      <c r="EMR2" s="54"/>
      <c r="EMX2" s="54"/>
      <c r="ENC2" s="54"/>
      <c r="ENJ2" s="54"/>
      <c r="ENP2" s="54"/>
      <c r="ENU2" s="54"/>
      <c r="EOB2" s="54"/>
      <c r="EOH2" s="54"/>
      <c r="EOM2" s="54"/>
      <c r="EOT2" s="54"/>
      <c r="EOZ2" s="54"/>
      <c r="EPE2" s="54"/>
      <c r="EPL2" s="54"/>
      <c r="EPR2" s="54"/>
      <c r="EPW2" s="54"/>
      <c r="EQD2" s="54"/>
      <c r="EQJ2" s="54"/>
      <c r="EQO2" s="54"/>
      <c r="EQV2" s="54"/>
      <c r="ERB2" s="54"/>
      <c r="ERG2" s="54"/>
      <c r="ERN2" s="54"/>
      <c r="ERT2" s="54"/>
      <c r="ERY2" s="54"/>
      <c r="ESF2" s="54"/>
      <c r="ESL2" s="54"/>
      <c r="ESQ2" s="54"/>
      <c r="ESX2" s="54"/>
      <c r="ETD2" s="54"/>
      <c r="ETI2" s="54"/>
      <c r="ETP2" s="54"/>
      <c r="ETV2" s="54"/>
      <c r="EUA2" s="54"/>
      <c r="EUH2" s="54"/>
      <c r="EUN2" s="54"/>
      <c r="EUS2" s="54"/>
      <c r="EUZ2" s="54"/>
      <c r="EVF2" s="54"/>
      <c r="EVK2" s="54"/>
      <c r="EVR2" s="54"/>
      <c r="EVX2" s="54"/>
      <c r="EWC2" s="54"/>
      <c r="EWJ2" s="54"/>
      <c r="EWP2" s="54"/>
      <c r="EWU2" s="54"/>
      <c r="EXB2" s="54"/>
      <c r="EXH2" s="54"/>
      <c r="EXM2" s="54"/>
      <c r="EXT2" s="54"/>
      <c r="EXZ2" s="54"/>
      <c r="EYE2" s="54"/>
      <c r="EYL2" s="54"/>
      <c r="EYR2" s="54"/>
      <c r="EYW2" s="54"/>
      <c r="EZD2" s="54"/>
      <c r="EZJ2" s="54"/>
      <c r="EZO2" s="54"/>
      <c r="EZV2" s="54"/>
      <c r="FAB2" s="54"/>
      <c r="FAG2" s="54"/>
      <c r="FAN2" s="54"/>
      <c r="FAT2" s="54"/>
      <c r="FAY2" s="54"/>
      <c r="FBF2" s="54"/>
      <c r="FBL2" s="54"/>
      <c r="FBQ2" s="54"/>
      <c r="FBX2" s="54"/>
      <c r="FCD2" s="54"/>
      <c r="FCI2" s="54"/>
      <c r="FCP2" s="54"/>
      <c r="FCV2" s="54"/>
      <c r="FDA2" s="54"/>
      <c r="FDH2" s="54"/>
      <c r="FDN2" s="54"/>
      <c r="FDS2" s="54"/>
      <c r="FDZ2" s="54"/>
      <c r="FEF2" s="54"/>
      <c r="FEK2" s="54"/>
      <c r="FER2" s="54"/>
      <c r="FEX2" s="54"/>
      <c r="FFC2" s="54"/>
      <c r="FFJ2" s="54"/>
      <c r="FFP2" s="54"/>
      <c r="FFU2" s="54"/>
      <c r="FGB2" s="54"/>
      <c r="FGH2" s="54"/>
      <c r="FGM2" s="54"/>
      <c r="FGT2" s="54"/>
      <c r="FGZ2" s="54"/>
      <c r="FHE2" s="54"/>
      <c r="FHL2" s="54"/>
      <c r="FHR2" s="54"/>
      <c r="FHW2" s="54"/>
      <c r="FID2" s="54"/>
      <c r="FIJ2" s="54"/>
      <c r="FIO2" s="54"/>
      <c r="FIV2" s="54"/>
      <c r="FJB2" s="54"/>
      <c r="FJG2" s="54"/>
      <c r="FJN2" s="54"/>
      <c r="FJT2" s="54"/>
      <c r="FJY2" s="54"/>
      <c r="FKF2" s="54"/>
      <c r="FKL2" s="54"/>
      <c r="FKQ2" s="54"/>
      <c r="FKX2" s="54"/>
      <c r="FLD2" s="54"/>
      <c r="FLI2" s="54"/>
      <c r="FLP2" s="54"/>
      <c r="FLV2" s="54"/>
      <c r="FMA2" s="54"/>
      <c r="FMH2" s="54"/>
      <c r="FMN2" s="54"/>
      <c r="FMS2" s="54"/>
      <c r="FMZ2" s="54"/>
      <c r="FNF2" s="54"/>
      <c r="FNK2" s="54"/>
      <c r="FNR2" s="54"/>
      <c r="FNX2" s="54"/>
      <c r="FOC2" s="54"/>
      <c r="FOJ2" s="54"/>
      <c r="FOP2" s="54"/>
      <c r="FOU2" s="54"/>
      <c r="FPB2" s="54"/>
      <c r="FPH2" s="54"/>
      <c r="FPM2" s="54"/>
      <c r="FPT2" s="54"/>
      <c r="FPZ2" s="54"/>
      <c r="FQE2" s="54"/>
      <c r="FQL2" s="54"/>
      <c r="FQR2" s="54"/>
      <c r="FQW2" s="54"/>
      <c r="FRD2" s="54"/>
      <c r="FRJ2" s="54"/>
      <c r="FRO2" s="54"/>
      <c r="FRV2" s="54"/>
      <c r="FSB2" s="54"/>
      <c r="FSG2" s="54"/>
      <c r="FSN2" s="54"/>
      <c r="FST2" s="54"/>
      <c r="FSY2" s="54"/>
      <c r="FTF2" s="54"/>
      <c r="FTL2" s="54"/>
      <c r="FTQ2" s="54"/>
      <c r="FTX2" s="54"/>
      <c r="FUD2" s="54"/>
      <c r="FUI2" s="54"/>
      <c r="FUP2" s="54"/>
      <c r="FUV2" s="54"/>
      <c r="FVA2" s="54"/>
      <c r="FVH2" s="54"/>
      <c r="FVN2" s="54"/>
      <c r="FVS2" s="54"/>
      <c r="FVZ2" s="54"/>
      <c r="FWF2" s="54"/>
      <c r="FWK2" s="54"/>
      <c r="FWR2" s="54"/>
      <c r="FWX2" s="54"/>
      <c r="FXC2" s="54"/>
      <c r="FXJ2" s="54"/>
      <c r="FXP2" s="54"/>
      <c r="FXU2" s="54"/>
      <c r="FYB2" s="54"/>
      <c r="FYH2" s="54"/>
      <c r="FYM2" s="54"/>
      <c r="FYT2" s="54"/>
      <c r="FYZ2" s="54"/>
      <c r="FZE2" s="54"/>
      <c r="FZL2" s="54"/>
      <c r="FZR2" s="54"/>
      <c r="FZW2" s="54"/>
      <c r="GAD2" s="54"/>
      <c r="GAJ2" s="54"/>
      <c r="GAO2" s="54"/>
      <c r="GAV2" s="54"/>
      <c r="GBB2" s="54"/>
      <c r="GBG2" s="54"/>
      <c r="GBN2" s="54"/>
      <c r="GBT2" s="54"/>
      <c r="GBY2" s="54"/>
      <c r="GCF2" s="54"/>
      <c r="GCL2" s="54"/>
      <c r="GCQ2" s="54"/>
      <c r="GCX2" s="54"/>
      <c r="GDD2" s="54"/>
      <c r="GDI2" s="54"/>
      <c r="GDP2" s="54"/>
      <c r="GDV2" s="54"/>
      <c r="GEA2" s="54"/>
      <c r="GEH2" s="54"/>
      <c r="GEN2" s="54"/>
      <c r="GES2" s="54"/>
      <c r="GEZ2" s="54"/>
      <c r="GFF2" s="54"/>
      <c r="GFK2" s="54"/>
      <c r="GFR2" s="54"/>
      <c r="GFX2" s="54"/>
      <c r="GGC2" s="54"/>
      <c r="GGJ2" s="54"/>
      <c r="GGP2" s="54"/>
      <c r="GGU2" s="54"/>
      <c r="GHB2" s="54"/>
      <c r="GHH2" s="54"/>
      <c r="GHM2" s="54"/>
      <c r="GHT2" s="54"/>
      <c r="GHZ2" s="54"/>
      <c r="GIE2" s="54"/>
      <c r="GIL2" s="54"/>
      <c r="GIR2" s="54"/>
      <c r="GIW2" s="54"/>
      <c r="GJD2" s="54"/>
      <c r="GJJ2" s="54"/>
      <c r="GJO2" s="54"/>
      <c r="GJV2" s="54"/>
      <c r="GKB2" s="54"/>
      <c r="GKG2" s="54"/>
      <c r="GKN2" s="54"/>
      <c r="GKT2" s="54"/>
      <c r="GKY2" s="54"/>
      <c r="GLF2" s="54"/>
      <c r="GLL2" s="54"/>
      <c r="GLQ2" s="54"/>
      <c r="GLX2" s="54"/>
      <c r="GMD2" s="54"/>
      <c r="GMI2" s="54"/>
      <c r="GMP2" s="54"/>
      <c r="GMV2" s="54"/>
      <c r="GNA2" s="54"/>
      <c r="GNH2" s="54"/>
      <c r="GNN2" s="54"/>
      <c r="GNS2" s="54"/>
      <c r="GNZ2" s="54"/>
      <c r="GOF2" s="54"/>
      <c r="GOK2" s="54"/>
      <c r="GOR2" s="54"/>
      <c r="GOX2" s="54"/>
      <c r="GPC2" s="54"/>
      <c r="GPJ2" s="54"/>
      <c r="GPP2" s="54"/>
      <c r="GPU2" s="54"/>
      <c r="GQB2" s="54"/>
      <c r="GQH2" s="54"/>
      <c r="GQM2" s="54"/>
      <c r="GQT2" s="54"/>
      <c r="GQZ2" s="54"/>
      <c r="GRE2" s="54"/>
      <c r="GRL2" s="54"/>
      <c r="GRR2" s="54"/>
      <c r="GRW2" s="54"/>
      <c r="GSD2" s="54"/>
      <c r="GSJ2" s="54"/>
      <c r="GSO2" s="54"/>
      <c r="GSV2" s="54"/>
      <c r="GTB2" s="54"/>
      <c r="GTG2" s="54"/>
      <c r="GTN2" s="54"/>
      <c r="GTT2" s="54"/>
      <c r="GTY2" s="54"/>
      <c r="GUF2" s="54"/>
      <c r="GUL2" s="54"/>
      <c r="GUQ2" s="54"/>
      <c r="GUX2" s="54"/>
      <c r="GVD2" s="54"/>
      <c r="GVI2" s="54"/>
      <c r="GVP2" s="54"/>
      <c r="GVV2" s="54"/>
      <c r="GWA2" s="54"/>
      <c r="GWH2" s="54"/>
      <c r="GWN2" s="54"/>
      <c r="GWS2" s="54"/>
      <c r="GWZ2" s="54"/>
      <c r="GXF2" s="54"/>
      <c r="GXK2" s="54"/>
      <c r="GXR2" s="54"/>
      <c r="GXX2" s="54"/>
      <c r="GYC2" s="54"/>
      <c r="GYJ2" s="54"/>
      <c r="GYP2" s="54"/>
      <c r="GYU2" s="54"/>
      <c r="GZB2" s="54"/>
      <c r="GZH2" s="54"/>
      <c r="GZM2" s="54"/>
      <c r="GZT2" s="54"/>
      <c r="GZZ2" s="54"/>
      <c r="HAE2" s="54"/>
      <c r="HAL2" s="54"/>
      <c r="HAR2" s="54"/>
      <c r="HAW2" s="54"/>
      <c r="HBD2" s="54"/>
      <c r="HBJ2" s="54"/>
      <c r="HBO2" s="54"/>
      <c r="HBV2" s="54"/>
      <c r="HCB2" s="54"/>
      <c r="HCG2" s="54"/>
      <c r="HCN2" s="54"/>
      <c r="HCT2" s="54"/>
      <c r="HCY2" s="54"/>
      <c r="HDF2" s="54"/>
      <c r="HDL2" s="54"/>
      <c r="HDQ2" s="54"/>
      <c r="HDX2" s="54"/>
      <c r="HED2" s="54"/>
      <c r="HEI2" s="54"/>
      <c r="HEP2" s="54"/>
      <c r="HEV2" s="54"/>
      <c r="HFA2" s="54"/>
      <c r="HFH2" s="54"/>
      <c r="HFN2" s="54"/>
      <c r="HFS2" s="54"/>
      <c r="HFZ2" s="54"/>
      <c r="HGF2" s="54"/>
      <c r="HGK2" s="54"/>
      <c r="HGR2" s="54"/>
      <c r="HGX2" s="54"/>
      <c r="HHC2" s="54"/>
      <c r="HHJ2" s="54"/>
      <c r="HHP2" s="54"/>
      <c r="HHU2" s="54"/>
      <c r="HIB2" s="54"/>
      <c r="HIH2" s="54"/>
      <c r="HIM2" s="54"/>
      <c r="HIT2" s="54"/>
      <c r="HIZ2" s="54"/>
      <c r="HJE2" s="54"/>
      <c r="HJL2" s="54"/>
      <c r="HJR2" s="54"/>
      <c r="HJW2" s="54"/>
      <c r="HKD2" s="54"/>
      <c r="HKJ2" s="54"/>
      <c r="HKO2" s="54"/>
      <c r="HKV2" s="54"/>
      <c r="HLB2" s="54"/>
      <c r="HLG2" s="54"/>
      <c r="HLN2" s="54"/>
      <c r="HLT2" s="54"/>
      <c r="HLY2" s="54"/>
      <c r="HMF2" s="54"/>
      <c r="HML2" s="54"/>
      <c r="HMQ2" s="54"/>
      <c r="HMX2" s="54"/>
      <c r="HND2" s="54"/>
      <c r="HNI2" s="54"/>
      <c r="HNP2" s="54"/>
      <c r="HNV2" s="54"/>
      <c r="HOA2" s="54"/>
      <c r="HOH2" s="54"/>
      <c r="HON2" s="54"/>
      <c r="HOS2" s="54"/>
      <c r="HOZ2" s="54"/>
      <c r="HPF2" s="54"/>
      <c r="HPK2" s="54"/>
      <c r="HPR2" s="54"/>
      <c r="HPX2" s="54"/>
      <c r="HQC2" s="54"/>
      <c r="HQJ2" s="54"/>
      <c r="HQP2" s="54"/>
      <c r="HQU2" s="54"/>
      <c r="HRB2" s="54"/>
      <c r="HRH2" s="54"/>
      <c r="HRM2" s="54"/>
      <c r="HRT2" s="54"/>
      <c r="HRZ2" s="54"/>
      <c r="HSE2" s="54"/>
      <c r="HSL2" s="54"/>
      <c r="HSR2" s="54"/>
      <c r="HSW2" s="54"/>
      <c r="HTD2" s="54"/>
      <c r="HTJ2" s="54"/>
      <c r="HTO2" s="54"/>
      <c r="HTV2" s="54"/>
      <c r="HUB2" s="54"/>
      <c r="HUG2" s="54"/>
      <c r="HUN2" s="54"/>
      <c r="HUT2" s="54"/>
      <c r="HUY2" s="54"/>
      <c r="HVF2" s="54"/>
      <c r="HVL2" s="54"/>
      <c r="HVQ2" s="54"/>
      <c r="HVX2" s="54"/>
      <c r="HWD2" s="54"/>
      <c r="HWI2" s="54"/>
      <c r="HWP2" s="54"/>
      <c r="HWV2" s="54"/>
      <c r="HXA2" s="54"/>
      <c r="HXH2" s="54"/>
      <c r="HXN2" s="54"/>
      <c r="HXS2" s="54"/>
      <c r="HXZ2" s="54"/>
      <c r="HYF2" s="54"/>
      <c r="HYK2" s="54"/>
      <c r="HYR2" s="54"/>
      <c r="HYX2" s="54"/>
      <c r="HZC2" s="54"/>
      <c r="HZJ2" s="54"/>
      <c r="HZP2" s="54"/>
      <c r="HZU2" s="54"/>
      <c r="IAB2" s="54"/>
      <c r="IAH2" s="54"/>
      <c r="IAM2" s="54"/>
      <c r="IAT2" s="54"/>
      <c r="IAZ2" s="54"/>
      <c r="IBE2" s="54"/>
      <c r="IBL2" s="54"/>
      <c r="IBR2" s="54"/>
      <c r="IBW2" s="54"/>
      <c r="ICD2" s="54"/>
      <c r="ICJ2" s="54"/>
      <c r="ICO2" s="54"/>
      <c r="ICV2" s="54"/>
      <c r="IDB2" s="54"/>
      <c r="IDG2" s="54"/>
      <c r="IDN2" s="54"/>
      <c r="IDT2" s="54"/>
      <c r="IDY2" s="54"/>
      <c r="IEF2" s="54"/>
      <c r="IEL2" s="54"/>
      <c r="IEQ2" s="54"/>
      <c r="IEX2" s="54"/>
      <c r="IFD2" s="54"/>
      <c r="IFI2" s="54"/>
      <c r="IFP2" s="54"/>
      <c r="IFV2" s="54"/>
      <c r="IGA2" s="54"/>
      <c r="IGH2" s="54"/>
      <c r="IGN2" s="54"/>
      <c r="IGS2" s="54"/>
      <c r="IGZ2" s="54"/>
      <c r="IHF2" s="54"/>
      <c r="IHK2" s="54"/>
      <c r="IHR2" s="54"/>
      <c r="IHX2" s="54"/>
      <c r="IIC2" s="54"/>
      <c r="IIJ2" s="54"/>
      <c r="IIP2" s="54"/>
      <c r="IIU2" s="54"/>
      <c r="IJB2" s="54"/>
      <c r="IJH2" s="54"/>
      <c r="IJM2" s="54"/>
      <c r="IJT2" s="54"/>
      <c r="IJZ2" s="54"/>
      <c r="IKE2" s="54"/>
      <c r="IKL2" s="54"/>
      <c r="IKR2" s="54"/>
      <c r="IKW2" s="54"/>
      <c r="ILD2" s="54"/>
      <c r="ILJ2" s="54"/>
      <c r="ILO2" s="54"/>
      <c r="ILV2" s="54"/>
      <c r="IMB2" s="54"/>
      <c r="IMG2" s="54"/>
      <c r="IMN2" s="54"/>
      <c r="IMT2" s="54"/>
      <c r="IMY2" s="54"/>
      <c r="INF2" s="54"/>
      <c r="INL2" s="54"/>
      <c r="INQ2" s="54"/>
      <c r="INX2" s="54"/>
      <c r="IOD2" s="54"/>
      <c r="IOI2" s="54"/>
      <c r="IOP2" s="54"/>
      <c r="IOV2" s="54"/>
      <c r="IPA2" s="54"/>
      <c r="IPH2" s="54"/>
      <c r="IPN2" s="54"/>
      <c r="IPS2" s="54"/>
      <c r="IPZ2" s="54"/>
      <c r="IQF2" s="54"/>
      <c r="IQK2" s="54"/>
      <c r="IQR2" s="54"/>
      <c r="IQX2" s="54"/>
      <c r="IRC2" s="54"/>
      <c r="IRJ2" s="54"/>
      <c r="IRP2" s="54"/>
      <c r="IRU2" s="54"/>
      <c r="ISB2" s="54"/>
      <c r="ISH2" s="54"/>
      <c r="ISM2" s="54"/>
      <c r="IST2" s="54"/>
      <c r="ISZ2" s="54"/>
      <c r="ITE2" s="54"/>
      <c r="ITL2" s="54"/>
      <c r="ITR2" s="54"/>
      <c r="ITW2" s="54"/>
      <c r="IUD2" s="54"/>
      <c r="IUJ2" s="54"/>
      <c r="IUO2" s="54"/>
      <c r="IUV2" s="54"/>
      <c r="IVB2" s="54"/>
      <c r="IVG2" s="54"/>
      <c r="IVN2" s="54"/>
      <c r="IVT2" s="54"/>
      <c r="IVY2" s="54"/>
      <c r="IWF2" s="54"/>
      <c r="IWL2" s="54"/>
      <c r="IWQ2" s="54"/>
      <c r="IWX2" s="54"/>
      <c r="IXD2" s="54"/>
      <c r="IXI2" s="54"/>
      <c r="IXP2" s="54"/>
      <c r="IXV2" s="54"/>
      <c r="IYA2" s="54"/>
      <c r="IYH2" s="54"/>
      <c r="IYN2" s="54"/>
      <c r="IYS2" s="54"/>
      <c r="IYZ2" s="54"/>
      <c r="IZF2" s="54"/>
      <c r="IZK2" s="54"/>
      <c r="IZR2" s="54"/>
      <c r="IZX2" s="54"/>
      <c r="JAC2" s="54"/>
      <c r="JAJ2" s="54"/>
      <c r="JAP2" s="54"/>
      <c r="JAU2" s="54"/>
      <c r="JBB2" s="54"/>
      <c r="JBH2" s="54"/>
      <c r="JBM2" s="54"/>
      <c r="JBT2" s="54"/>
      <c r="JBZ2" s="54"/>
      <c r="JCE2" s="54"/>
      <c r="JCL2" s="54"/>
      <c r="JCR2" s="54"/>
      <c r="JCW2" s="54"/>
      <c r="JDD2" s="54"/>
      <c r="JDJ2" s="54"/>
      <c r="JDO2" s="54"/>
      <c r="JDV2" s="54"/>
      <c r="JEB2" s="54"/>
      <c r="JEG2" s="54"/>
      <c r="JEN2" s="54"/>
      <c r="JET2" s="54"/>
      <c r="JEY2" s="54"/>
      <c r="JFF2" s="54"/>
      <c r="JFL2" s="54"/>
      <c r="JFQ2" s="54"/>
      <c r="JFX2" s="54"/>
      <c r="JGD2" s="54"/>
      <c r="JGI2" s="54"/>
      <c r="JGP2" s="54"/>
      <c r="JGV2" s="54"/>
      <c r="JHA2" s="54"/>
      <c r="JHH2" s="54"/>
      <c r="JHN2" s="54"/>
      <c r="JHS2" s="54"/>
      <c r="JHZ2" s="54"/>
      <c r="JIF2" s="54"/>
      <c r="JIK2" s="54"/>
      <c r="JIR2" s="54"/>
      <c r="JIX2" s="54"/>
      <c r="JJC2" s="54"/>
      <c r="JJJ2" s="54"/>
      <c r="JJP2" s="54"/>
      <c r="JJU2" s="54"/>
      <c r="JKB2" s="54"/>
      <c r="JKH2" s="54"/>
      <c r="JKM2" s="54"/>
      <c r="JKT2" s="54"/>
      <c r="JKZ2" s="54"/>
      <c r="JLE2" s="54"/>
      <c r="JLL2" s="54"/>
      <c r="JLR2" s="54"/>
      <c r="JLW2" s="54"/>
      <c r="JMD2" s="54"/>
      <c r="JMJ2" s="54"/>
      <c r="JMO2" s="54"/>
      <c r="JMV2" s="54"/>
      <c r="JNB2" s="54"/>
      <c r="JNG2" s="54"/>
      <c r="JNN2" s="54"/>
      <c r="JNT2" s="54"/>
      <c r="JNY2" s="54"/>
      <c r="JOF2" s="54"/>
      <c r="JOL2" s="54"/>
      <c r="JOQ2" s="54"/>
      <c r="JOX2" s="54"/>
      <c r="JPD2" s="54"/>
      <c r="JPI2" s="54"/>
      <c r="JPP2" s="54"/>
      <c r="JPV2" s="54"/>
      <c r="JQA2" s="54"/>
      <c r="JQH2" s="54"/>
      <c r="JQN2" s="54"/>
      <c r="JQS2" s="54"/>
      <c r="JQZ2" s="54"/>
      <c r="JRF2" s="54"/>
      <c r="JRK2" s="54"/>
      <c r="JRR2" s="54"/>
      <c r="JRX2" s="54"/>
      <c r="JSC2" s="54"/>
      <c r="JSJ2" s="54"/>
      <c r="JSP2" s="54"/>
      <c r="JSU2" s="54"/>
      <c r="JTB2" s="54"/>
      <c r="JTH2" s="54"/>
      <c r="JTM2" s="54"/>
      <c r="JTT2" s="54"/>
      <c r="JTZ2" s="54"/>
      <c r="JUE2" s="54"/>
      <c r="JUL2" s="54"/>
      <c r="JUR2" s="54"/>
      <c r="JUW2" s="54"/>
      <c r="JVD2" s="54"/>
      <c r="JVJ2" s="54"/>
      <c r="JVO2" s="54"/>
      <c r="JVV2" s="54"/>
      <c r="JWB2" s="54"/>
      <c r="JWG2" s="54"/>
      <c r="JWN2" s="54"/>
      <c r="JWT2" s="54"/>
      <c r="JWY2" s="54"/>
      <c r="JXF2" s="54"/>
      <c r="JXL2" s="54"/>
      <c r="JXQ2" s="54"/>
      <c r="JXX2" s="54"/>
      <c r="JYD2" s="54"/>
      <c r="JYI2" s="54"/>
      <c r="JYP2" s="54"/>
      <c r="JYV2" s="54"/>
      <c r="JZA2" s="54"/>
      <c r="JZH2" s="54"/>
      <c r="JZN2" s="54"/>
      <c r="JZS2" s="54"/>
      <c r="JZZ2" s="54"/>
      <c r="KAF2" s="54"/>
      <c r="KAK2" s="54"/>
      <c r="KAR2" s="54"/>
      <c r="KAX2" s="54"/>
      <c r="KBC2" s="54"/>
      <c r="KBJ2" s="54"/>
      <c r="KBP2" s="54"/>
      <c r="KBU2" s="54"/>
      <c r="KCB2" s="54"/>
      <c r="KCH2" s="54"/>
      <c r="KCM2" s="54"/>
      <c r="KCT2" s="54"/>
      <c r="KCZ2" s="54"/>
      <c r="KDE2" s="54"/>
      <c r="KDL2" s="54"/>
      <c r="KDR2" s="54"/>
      <c r="KDW2" s="54"/>
      <c r="KED2" s="54"/>
      <c r="KEJ2" s="54"/>
      <c r="KEO2" s="54"/>
      <c r="KEV2" s="54"/>
      <c r="KFB2" s="54"/>
      <c r="KFG2" s="54"/>
      <c r="KFN2" s="54"/>
      <c r="KFT2" s="54"/>
      <c r="KFY2" s="54"/>
      <c r="KGF2" s="54"/>
      <c r="KGL2" s="54"/>
      <c r="KGQ2" s="54"/>
      <c r="KGX2" s="54"/>
      <c r="KHD2" s="54"/>
      <c r="KHI2" s="54"/>
      <c r="KHP2" s="54"/>
      <c r="KHV2" s="54"/>
      <c r="KIA2" s="54"/>
      <c r="KIH2" s="54"/>
      <c r="KIN2" s="54"/>
      <c r="KIS2" s="54"/>
      <c r="KIZ2" s="54"/>
      <c r="KJF2" s="54"/>
      <c r="KJK2" s="54"/>
      <c r="KJR2" s="54"/>
      <c r="KJX2" s="54"/>
      <c r="KKC2" s="54"/>
      <c r="KKJ2" s="54"/>
      <c r="KKP2" s="54"/>
      <c r="KKU2" s="54"/>
      <c r="KLB2" s="54"/>
      <c r="KLH2" s="54"/>
      <c r="KLM2" s="54"/>
      <c r="KLT2" s="54"/>
      <c r="KLZ2" s="54"/>
      <c r="KME2" s="54"/>
      <c r="KML2" s="54"/>
      <c r="KMR2" s="54"/>
      <c r="KMW2" s="54"/>
      <c r="KND2" s="54"/>
      <c r="KNJ2" s="54"/>
      <c r="KNO2" s="54"/>
      <c r="KNV2" s="54"/>
      <c r="KOB2" s="54"/>
      <c r="KOG2" s="54"/>
      <c r="KON2" s="54"/>
      <c r="KOT2" s="54"/>
      <c r="KOY2" s="54"/>
      <c r="KPF2" s="54"/>
      <c r="KPL2" s="54"/>
      <c r="KPQ2" s="54"/>
      <c r="KPX2" s="54"/>
      <c r="KQD2" s="54"/>
      <c r="KQI2" s="54"/>
      <c r="KQP2" s="54"/>
      <c r="KQV2" s="54"/>
      <c r="KRA2" s="54"/>
      <c r="KRH2" s="54"/>
      <c r="KRN2" s="54"/>
      <c r="KRS2" s="54"/>
      <c r="KRZ2" s="54"/>
      <c r="KSF2" s="54"/>
      <c r="KSK2" s="54"/>
      <c r="KSR2" s="54"/>
      <c r="KSX2" s="54"/>
      <c r="KTC2" s="54"/>
      <c r="KTJ2" s="54"/>
      <c r="KTP2" s="54"/>
      <c r="KTU2" s="54"/>
      <c r="KUB2" s="54"/>
      <c r="KUH2" s="54"/>
      <c r="KUM2" s="54"/>
      <c r="KUT2" s="54"/>
      <c r="KUZ2" s="54"/>
      <c r="KVE2" s="54"/>
      <c r="KVL2" s="54"/>
      <c r="KVR2" s="54"/>
      <c r="KVW2" s="54"/>
      <c r="KWD2" s="54"/>
      <c r="KWJ2" s="54"/>
      <c r="KWO2" s="54"/>
      <c r="KWV2" s="54"/>
      <c r="KXB2" s="54"/>
      <c r="KXG2" s="54"/>
      <c r="KXN2" s="54"/>
      <c r="KXT2" s="54"/>
      <c r="KXY2" s="54"/>
      <c r="KYF2" s="54"/>
      <c r="KYL2" s="54"/>
      <c r="KYQ2" s="54"/>
      <c r="KYX2" s="54"/>
      <c r="KZD2" s="54"/>
      <c r="KZI2" s="54"/>
      <c r="KZP2" s="54"/>
      <c r="KZV2" s="54"/>
      <c r="LAA2" s="54"/>
      <c r="LAH2" s="54"/>
      <c r="LAN2" s="54"/>
      <c r="LAS2" s="54"/>
      <c r="LAZ2" s="54"/>
      <c r="LBF2" s="54"/>
      <c r="LBK2" s="54"/>
      <c r="LBR2" s="54"/>
      <c r="LBX2" s="54"/>
      <c r="LCC2" s="54"/>
      <c r="LCJ2" s="54"/>
      <c r="LCP2" s="54"/>
      <c r="LCU2" s="54"/>
      <c r="LDB2" s="54"/>
      <c r="LDH2" s="54"/>
      <c r="LDM2" s="54"/>
      <c r="LDT2" s="54"/>
      <c r="LDZ2" s="54"/>
      <c r="LEE2" s="54"/>
      <c r="LEL2" s="54"/>
      <c r="LER2" s="54"/>
      <c r="LEW2" s="54"/>
      <c r="LFD2" s="54"/>
      <c r="LFJ2" s="54"/>
      <c r="LFO2" s="54"/>
      <c r="LFV2" s="54"/>
      <c r="LGB2" s="54"/>
      <c r="LGG2" s="54"/>
      <c r="LGN2" s="54"/>
      <c r="LGT2" s="54"/>
      <c r="LGY2" s="54"/>
      <c r="LHF2" s="54"/>
      <c r="LHL2" s="54"/>
      <c r="LHQ2" s="54"/>
      <c r="LHX2" s="54"/>
      <c r="LID2" s="54"/>
      <c r="LII2" s="54"/>
      <c r="LIP2" s="54"/>
      <c r="LIV2" s="54"/>
      <c r="LJA2" s="54"/>
      <c r="LJH2" s="54"/>
      <c r="LJN2" s="54"/>
      <c r="LJS2" s="54"/>
      <c r="LJZ2" s="54"/>
      <c r="LKF2" s="54"/>
      <c r="LKK2" s="54"/>
      <c r="LKR2" s="54"/>
      <c r="LKX2" s="54"/>
      <c r="LLC2" s="54"/>
      <c r="LLJ2" s="54"/>
      <c r="LLP2" s="54"/>
      <c r="LLU2" s="54"/>
      <c r="LMB2" s="54"/>
      <c r="LMH2" s="54"/>
      <c r="LMM2" s="54"/>
      <c r="LMT2" s="54"/>
      <c r="LMZ2" s="54"/>
      <c r="LNE2" s="54"/>
      <c r="LNL2" s="54"/>
      <c r="LNR2" s="54"/>
      <c r="LNW2" s="54"/>
      <c r="LOD2" s="54"/>
      <c r="LOJ2" s="54"/>
      <c r="LOO2" s="54"/>
      <c r="LOV2" s="54"/>
      <c r="LPB2" s="54"/>
      <c r="LPG2" s="54"/>
      <c r="LPN2" s="54"/>
      <c r="LPT2" s="54"/>
      <c r="LPY2" s="54"/>
      <c r="LQF2" s="54"/>
      <c r="LQL2" s="54"/>
      <c r="LQQ2" s="54"/>
      <c r="LQX2" s="54"/>
      <c r="LRD2" s="54"/>
      <c r="LRI2" s="54"/>
      <c r="LRP2" s="54"/>
      <c r="LRV2" s="54"/>
      <c r="LSA2" s="54"/>
      <c r="LSH2" s="54"/>
      <c r="LSN2" s="54"/>
      <c r="LSS2" s="54"/>
      <c r="LSZ2" s="54"/>
      <c r="LTF2" s="54"/>
      <c r="LTK2" s="54"/>
      <c r="LTR2" s="54"/>
      <c r="LTX2" s="54"/>
      <c r="LUC2" s="54"/>
      <c r="LUJ2" s="54"/>
      <c r="LUP2" s="54"/>
      <c r="LUU2" s="54"/>
      <c r="LVB2" s="54"/>
      <c r="LVH2" s="54"/>
      <c r="LVM2" s="54"/>
      <c r="LVT2" s="54"/>
      <c r="LVZ2" s="54"/>
      <c r="LWE2" s="54"/>
      <c r="LWL2" s="54"/>
      <c r="LWR2" s="54"/>
      <c r="LWW2" s="54"/>
      <c r="LXD2" s="54"/>
      <c r="LXJ2" s="54"/>
      <c r="LXO2" s="54"/>
      <c r="LXV2" s="54"/>
      <c r="LYB2" s="54"/>
      <c r="LYG2" s="54"/>
      <c r="LYN2" s="54"/>
      <c r="LYT2" s="54"/>
      <c r="LYY2" s="54"/>
      <c r="LZF2" s="54"/>
      <c r="LZL2" s="54"/>
      <c r="LZQ2" s="54"/>
      <c r="LZX2" s="54"/>
      <c r="MAD2" s="54"/>
      <c r="MAI2" s="54"/>
      <c r="MAP2" s="54"/>
      <c r="MAV2" s="54"/>
      <c r="MBA2" s="54"/>
      <c r="MBH2" s="54"/>
      <c r="MBN2" s="54"/>
      <c r="MBS2" s="54"/>
      <c r="MBZ2" s="54"/>
      <c r="MCF2" s="54"/>
      <c r="MCK2" s="54"/>
      <c r="MCR2" s="54"/>
      <c r="MCX2" s="54"/>
      <c r="MDC2" s="54"/>
      <c r="MDJ2" s="54"/>
      <c r="MDP2" s="54"/>
      <c r="MDU2" s="54"/>
      <c r="MEB2" s="54"/>
      <c r="MEH2" s="54"/>
      <c r="MEM2" s="54"/>
      <c r="MET2" s="54"/>
      <c r="MEZ2" s="54"/>
      <c r="MFE2" s="54"/>
      <c r="MFL2" s="54"/>
      <c r="MFR2" s="54"/>
      <c r="MFW2" s="54"/>
      <c r="MGD2" s="54"/>
      <c r="MGJ2" s="54"/>
      <c r="MGO2" s="54"/>
      <c r="MGV2" s="54"/>
      <c r="MHB2" s="54"/>
      <c r="MHG2" s="54"/>
      <c r="MHN2" s="54"/>
      <c r="MHT2" s="54"/>
      <c r="MHY2" s="54"/>
      <c r="MIF2" s="54"/>
      <c r="MIL2" s="54"/>
      <c r="MIQ2" s="54"/>
      <c r="MIX2" s="54"/>
      <c r="MJD2" s="54"/>
      <c r="MJI2" s="54"/>
      <c r="MJP2" s="54"/>
      <c r="MJV2" s="54"/>
      <c r="MKA2" s="54"/>
      <c r="MKH2" s="54"/>
      <c r="MKN2" s="54"/>
      <c r="MKS2" s="54"/>
      <c r="MKZ2" s="54"/>
      <c r="MLF2" s="54"/>
      <c r="MLK2" s="54"/>
      <c r="MLR2" s="54"/>
      <c r="MLX2" s="54"/>
      <c r="MMC2" s="54"/>
      <c r="MMJ2" s="54"/>
      <c r="MMP2" s="54"/>
      <c r="MMU2" s="54"/>
      <c r="MNB2" s="54"/>
      <c r="MNH2" s="54"/>
      <c r="MNM2" s="54"/>
      <c r="MNT2" s="54"/>
      <c r="MNZ2" s="54"/>
      <c r="MOE2" s="54"/>
      <c r="MOL2" s="54"/>
      <c r="MOR2" s="54"/>
      <c r="MOW2" s="54"/>
      <c r="MPD2" s="54"/>
      <c r="MPJ2" s="54"/>
      <c r="MPO2" s="54"/>
      <c r="MPV2" s="54"/>
      <c r="MQB2" s="54"/>
      <c r="MQG2" s="54"/>
      <c r="MQN2" s="54"/>
      <c r="MQT2" s="54"/>
      <c r="MQY2" s="54"/>
      <c r="MRF2" s="54"/>
      <c r="MRL2" s="54"/>
      <c r="MRQ2" s="54"/>
      <c r="MRX2" s="54"/>
      <c r="MSD2" s="54"/>
      <c r="MSI2" s="54"/>
      <c r="MSP2" s="54"/>
      <c r="MSV2" s="54"/>
      <c r="MTA2" s="54"/>
      <c r="MTH2" s="54"/>
      <c r="MTN2" s="54"/>
      <c r="MTS2" s="54"/>
      <c r="MTZ2" s="54"/>
      <c r="MUF2" s="54"/>
      <c r="MUK2" s="54"/>
      <c r="MUR2" s="54"/>
      <c r="MUX2" s="54"/>
      <c r="MVC2" s="54"/>
      <c r="MVJ2" s="54"/>
      <c r="MVP2" s="54"/>
      <c r="MVU2" s="54"/>
      <c r="MWB2" s="54"/>
      <c r="MWH2" s="54"/>
      <c r="MWM2" s="54"/>
      <c r="MWT2" s="54"/>
      <c r="MWZ2" s="54"/>
      <c r="MXE2" s="54"/>
      <c r="MXL2" s="54"/>
      <c r="MXR2" s="54"/>
      <c r="MXW2" s="54"/>
      <c r="MYD2" s="54"/>
      <c r="MYJ2" s="54"/>
      <c r="MYO2" s="54"/>
      <c r="MYV2" s="54"/>
      <c r="MZB2" s="54"/>
      <c r="MZG2" s="54"/>
      <c r="MZN2" s="54"/>
      <c r="MZT2" s="54"/>
      <c r="MZY2" s="54"/>
      <c r="NAF2" s="54"/>
      <c r="NAL2" s="54"/>
      <c r="NAQ2" s="54"/>
      <c r="NAX2" s="54"/>
      <c r="NBD2" s="54"/>
      <c r="NBI2" s="54"/>
      <c r="NBP2" s="54"/>
      <c r="NBV2" s="54"/>
      <c r="NCA2" s="54"/>
      <c r="NCH2" s="54"/>
      <c r="NCN2" s="54"/>
      <c r="NCS2" s="54"/>
      <c r="NCZ2" s="54"/>
      <c r="NDF2" s="54"/>
      <c r="NDK2" s="54"/>
      <c r="NDR2" s="54"/>
      <c r="NDX2" s="54"/>
      <c r="NEC2" s="54"/>
      <c r="NEJ2" s="54"/>
      <c r="NEP2" s="54"/>
      <c r="NEU2" s="54"/>
      <c r="NFB2" s="54"/>
      <c r="NFH2" s="54"/>
      <c r="NFM2" s="54"/>
      <c r="NFT2" s="54"/>
      <c r="NFZ2" s="54"/>
      <c r="NGE2" s="54"/>
      <c r="NGL2" s="54"/>
      <c r="NGR2" s="54"/>
      <c r="NGW2" s="54"/>
      <c r="NHD2" s="54"/>
      <c r="NHJ2" s="54"/>
      <c r="NHO2" s="54"/>
      <c r="NHV2" s="54"/>
      <c r="NIB2" s="54"/>
      <c r="NIG2" s="54"/>
      <c r="NIN2" s="54"/>
      <c r="NIT2" s="54"/>
      <c r="NIY2" s="54"/>
      <c r="NJF2" s="54"/>
      <c r="NJL2" s="54"/>
      <c r="NJQ2" s="54"/>
      <c r="NJX2" s="54"/>
      <c r="NKD2" s="54"/>
      <c r="NKI2" s="54"/>
      <c r="NKP2" s="54"/>
      <c r="NKV2" s="54"/>
      <c r="NLA2" s="54"/>
      <c r="NLH2" s="54"/>
      <c r="NLN2" s="54"/>
      <c r="NLS2" s="54"/>
      <c r="NLZ2" s="54"/>
      <c r="NMF2" s="54"/>
      <c r="NMK2" s="54"/>
      <c r="NMR2" s="54"/>
      <c r="NMX2" s="54"/>
      <c r="NNC2" s="54"/>
      <c r="NNJ2" s="54"/>
      <c r="NNP2" s="54"/>
      <c r="NNU2" s="54"/>
      <c r="NOB2" s="54"/>
      <c r="NOH2" s="54"/>
      <c r="NOM2" s="54"/>
      <c r="NOT2" s="54"/>
      <c r="NOZ2" s="54"/>
      <c r="NPE2" s="54"/>
      <c r="NPL2" s="54"/>
      <c r="NPR2" s="54"/>
      <c r="NPW2" s="54"/>
      <c r="NQD2" s="54"/>
      <c r="NQJ2" s="54"/>
      <c r="NQO2" s="54"/>
      <c r="NQV2" s="54"/>
      <c r="NRB2" s="54"/>
      <c r="NRG2" s="54"/>
      <c r="NRN2" s="54"/>
      <c r="NRT2" s="54"/>
      <c r="NRY2" s="54"/>
      <c r="NSF2" s="54"/>
      <c r="NSL2" s="54"/>
      <c r="NSQ2" s="54"/>
      <c r="NSX2" s="54"/>
      <c r="NTD2" s="54"/>
      <c r="NTI2" s="54"/>
      <c r="NTP2" s="54"/>
      <c r="NTV2" s="54"/>
      <c r="NUA2" s="54"/>
      <c r="NUH2" s="54"/>
      <c r="NUN2" s="54"/>
      <c r="NUS2" s="54"/>
      <c r="NUZ2" s="54"/>
      <c r="NVF2" s="54"/>
      <c r="NVK2" s="54"/>
      <c r="NVR2" s="54"/>
      <c r="NVX2" s="54"/>
      <c r="NWC2" s="54"/>
      <c r="NWJ2" s="54"/>
      <c r="NWP2" s="54"/>
      <c r="NWU2" s="54"/>
      <c r="NXB2" s="54"/>
      <c r="NXH2" s="54"/>
      <c r="NXM2" s="54"/>
      <c r="NXT2" s="54"/>
      <c r="NXZ2" s="54"/>
      <c r="NYE2" s="54"/>
      <c r="NYL2" s="54"/>
      <c r="NYR2" s="54"/>
      <c r="NYW2" s="54"/>
      <c r="NZD2" s="54"/>
      <c r="NZJ2" s="54"/>
      <c r="NZO2" s="54"/>
      <c r="NZV2" s="54"/>
      <c r="OAB2" s="54"/>
      <c r="OAG2" s="54"/>
      <c r="OAN2" s="54"/>
      <c r="OAT2" s="54"/>
      <c r="OAY2" s="54"/>
      <c r="OBF2" s="54"/>
      <c r="OBL2" s="54"/>
      <c r="OBQ2" s="54"/>
      <c r="OBX2" s="54"/>
      <c r="OCD2" s="54"/>
      <c r="OCI2" s="54"/>
      <c r="OCP2" s="54"/>
      <c r="OCV2" s="54"/>
      <c r="ODA2" s="54"/>
      <c r="ODH2" s="54"/>
      <c r="ODN2" s="54"/>
      <c r="ODS2" s="54"/>
      <c r="ODZ2" s="54"/>
      <c r="OEF2" s="54"/>
      <c r="OEK2" s="54"/>
      <c r="OER2" s="54"/>
      <c r="OEX2" s="54"/>
      <c r="OFC2" s="54"/>
      <c r="OFJ2" s="54"/>
      <c r="OFP2" s="54"/>
      <c r="OFU2" s="54"/>
      <c r="OGB2" s="54"/>
      <c r="OGH2" s="54"/>
      <c r="OGM2" s="54"/>
      <c r="OGT2" s="54"/>
      <c r="OGZ2" s="54"/>
      <c r="OHE2" s="54"/>
      <c r="OHL2" s="54"/>
      <c r="OHR2" s="54"/>
      <c r="OHW2" s="54"/>
      <c r="OID2" s="54"/>
      <c r="OIJ2" s="54"/>
      <c r="OIO2" s="54"/>
      <c r="OIV2" s="54"/>
      <c r="OJB2" s="54"/>
      <c r="OJG2" s="54"/>
      <c r="OJN2" s="54"/>
      <c r="OJT2" s="54"/>
      <c r="OJY2" s="54"/>
      <c r="OKF2" s="54"/>
      <c r="OKL2" s="54"/>
      <c r="OKQ2" s="54"/>
      <c r="OKX2" s="54"/>
      <c r="OLD2" s="54"/>
      <c r="OLI2" s="54"/>
      <c r="OLP2" s="54"/>
      <c r="OLV2" s="54"/>
      <c r="OMA2" s="54"/>
      <c r="OMH2" s="54"/>
      <c r="OMN2" s="54"/>
      <c r="OMS2" s="54"/>
      <c r="OMZ2" s="54"/>
      <c r="ONF2" s="54"/>
      <c r="ONK2" s="54"/>
      <c r="ONR2" s="54"/>
      <c r="ONX2" s="54"/>
      <c r="OOC2" s="54"/>
      <c r="OOJ2" s="54"/>
      <c r="OOP2" s="54"/>
      <c r="OOU2" s="54"/>
      <c r="OPB2" s="54"/>
      <c r="OPH2" s="54"/>
      <c r="OPM2" s="54"/>
      <c r="OPT2" s="54"/>
      <c r="OPZ2" s="54"/>
      <c r="OQE2" s="54"/>
      <c r="OQL2" s="54"/>
      <c r="OQR2" s="54"/>
      <c r="OQW2" s="54"/>
      <c r="ORD2" s="54"/>
      <c r="ORJ2" s="54"/>
      <c r="ORO2" s="54"/>
      <c r="ORV2" s="54"/>
      <c r="OSB2" s="54"/>
      <c r="OSG2" s="54"/>
      <c r="OSN2" s="54"/>
      <c r="OST2" s="54"/>
      <c r="OSY2" s="54"/>
      <c r="OTF2" s="54"/>
      <c r="OTL2" s="54"/>
      <c r="OTQ2" s="54"/>
      <c r="OTX2" s="54"/>
      <c r="OUD2" s="54"/>
      <c r="OUI2" s="54"/>
      <c r="OUP2" s="54"/>
      <c r="OUV2" s="54"/>
      <c r="OVA2" s="54"/>
      <c r="OVH2" s="54"/>
      <c r="OVN2" s="54"/>
      <c r="OVS2" s="54"/>
      <c r="OVZ2" s="54"/>
      <c r="OWF2" s="54"/>
      <c r="OWK2" s="54"/>
      <c r="OWR2" s="54"/>
      <c r="OWX2" s="54"/>
      <c r="OXC2" s="54"/>
      <c r="OXJ2" s="54"/>
      <c r="OXP2" s="54"/>
      <c r="OXU2" s="54"/>
      <c r="OYB2" s="54"/>
      <c r="OYH2" s="54"/>
      <c r="OYM2" s="54"/>
      <c r="OYT2" s="54"/>
      <c r="OYZ2" s="54"/>
      <c r="OZE2" s="54"/>
      <c r="OZL2" s="54"/>
      <c r="OZR2" s="54"/>
      <c r="OZW2" s="54"/>
      <c r="PAD2" s="54"/>
      <c r="PAJ2" s="54"/>
      <c r="PAO2" s="54"/>
      <c r="PAV2" s="54"/>
      <c r="PBB2" s="54"/>
      <c r="PBG2" s="54"/>
      <c r="PBN2" s="54"/>
      <c r="PBT2" s="54"/>
      <c r="PBY2" s="54"/>
      <c r="PCF2" s="54"/>
      <c r="PCL2" s="54"/>
      <c r="PCQ2" s="54"/>
      <c r="PCX2" s="54"/>
      <c r="PDD2" s="54"/>
      <c r="PDI2" s="54"/>
      <c r="PDP2" s="54"/>
      <c r="PDV2" s="54"/>
      <c r="PEA2" s="54"/>
      <c r="PEH2" s="54"/>
      <c r="PEN2" s="54"/>
      <c r="PES2" s="54"/>
      <c r="PEZ2" s="54"/>
      <c r="PFF2" s="54"/>
      <c r="PFK2" s="54"/>
      <c r="PFR2" s="54"/>
      <c r="PFX2" s="54"/>
      <c r="PGC2" s="54"/>
      <c r="PGJ2" s="54"/>
      <c r="PGP2" s="54"/>
      <c r="PGU2" s="54"/>
      <c r="PHB2" s="54"/>
      <c r="PHH2" s="54"/>
      <c r="PHM2" s="54"/>
      <c r="PHT2" s="54"/>
      <c r="PHZ2" s="54"/>
      <c r="PIE2" s="54"/>
      <c r="PIL2" s="54"/>
      <c r="PIR2" s="54"/>
      <c r="PIW2" s="54"/>
      <c r="PJD2" s="54"/>
      <c r="PJJ2" s="54"/>
      <c r="PJO2" s="54"/>
      <c r="PJV2" s="54"/>
      <c r="PKB2" s="54"/>
      <c r="PKG2" s="54"/>
      <c r="PKN2" s="54"/>
      <c r="PKT2" s="54"/>
      <c r="PKY2" s="54"/>
      <c r="PLF2" s="54"/>
      <c r="PLL2" s="54"/>
      <c r="PLQ2" s="54"/>
      <c r="PLX2" s="54"/>
      <c r="PMD2" s="54"/>
      <c r="PMI2" s="54"/>
      <c r="PMP2" s="54"/>
      <c r="PMV2" s="54"/>
      <c r="PNA2" s="54"/>
      <c r="PNH2" s="54"/>
      <c r="PNN2" s="54"/>
      <c r="PNS2" s="54"/>
      <c r="PNZ2" s="54"/>
      <c r="POF2" s="54"/>
      <c r="POK2" s="54"/>
      <c r="POR2" s="54"/>
      <c r="POX2" s="54"/>
      <c r="PPC2" s="54"/>
      <c r="PPJ2" s="54"/>
      <c r="PPP2" s="54"/>
      <c r="PPU2" s="54"/>
      <c r="PQB2" s="54"/>
      <c r="PQH2" s="54"/>
      <c r="PQM2" s="54"/>
      <c r="PQT2" s="54"/>
      <c r="PQZ2" s="54"/>
      <c r="PRE2" s="54"/>
      <c r="PRL2" s="54"/>
      <c r="PRR2" s="54"/>
      <c r="PRW2" s="54"/>
      <c r="PSD2" s="54"/>
      <c r="PSJ2" s="54"/>
      <c r="PSO2" s="54"/>
      <c r="PSV2" s="54"/>
      <c r="PTB2" s="54"/>
      <c r="PTG2" s="54"/>
      <c r="PTN2" s="54"/>
      <c r="PTT2" s="54"/>
      <c r="PTY2" s="54"/>
      <c r="PUF2" s="54"/>
      <c r="PUL2" s="54"/>
      <c r="PUQ2" s="54"/>
      <c r="PUX2" s="54"/>
      <c r="PVD2" s="54"/>
      <c r="PVI2" s="54"/>
      <c r="PVP2" s="54"/>
      <c r="PVV2" s="54"/>
      <c r="PWA2" s="54"/>
      <c r="PWH2" s="54"/>
      <c r="PWN2" s="54"/>
      <c r="PWS2" s="54"/>
      <c r="PWZ2" s="54"/>
      <c r="PXF2" s="54"/>
      <c r="PXK2" s="54"/>
      <c r="PXR2" s="54"/>
      <c r="PXX2" s="54"/>
      <c r="PYC2" s="54"/>
      <c r="PYJ2" s="54"/>
      <c r="PYP2" s="54"/>
      <c r="PYU2" s="54"/>
      <c r="PZB2" s="54"/>
      <c r="PZH2" s="54"/>
      <c r="PZM2" s="54"/>
      <c r="PZT2" s="54"/>
      <c r="PZZ2" s="54"/>
      <c r="QAE2" s="54"/>
      <c r="QAL2" s="54"/>
      <c r="QAR2" s="54"/>
      <c r="QAW2" s="54"/>
      <c r="QBD2" s="54"/>
      <c r="QBJ2" s="54"/>
      <c r="QBO2" s="54"/>
      <c r="QBV2" s="54"/>
      <c r="QCB2" s="54"/>
      <c r="QCG2" s="54"/>
      <c r="QCN2" s="54"/>
      <c r="QCT2" s="54"/>
      <c r="QCY2" s="54"/>
      <c r="QDF2" s="54"/>
      <c r="QDL2" s="54"/>
      <c r="QDQ2" s="54"/>
      <c r="QDX2" s="54"/>
      <c r="QED2" s="54"/>
      <c r="QEI2" s="54"/>
      <c r="QEP2" s="54"/>
      <c r="QEV2" s="54"/>
      <c r="QFA2" s="54"/>
      <c r="QFH2" s="54"/>
      <c r="QFN2" s="54"/>
      <c r="QFS2" s="54"/>
      <c r="QFZ2" s="54"/>
      <c r="QGF2" s="54"/>
      <c r="QGK2" s="54"/>
      <c r="QGR2" s="54"/>
      <c r="QGX2" s="54"/>
      <c r="QHC2" s="54"/>
      <c r="QHJ2" s="54"/>
      <c r="QHP2" s="54"/>
      <c r="QHU2" s="54"/>
      <c r="QIB2" s="54"/>
      <c r="QIH2" s="54"/>
      <c r="QIM2" s="54"/>
      <c r="QIT2" s="54"/>
      <c r="QIZ2" s="54"/>
      <c r="QJE2" s="54"/>
      <c r="QJL2" s="54"/>
      <c r="QJR2" s="54"/>
      <c r="QJW2" s="54"/>
      <c r="QKD2" s="54"/>
      <c r="QKJ2" s="54"/>
      <c r="QKO2" s="54"/>
      <c r="QKV2" s="54"/>
      <c r="QLB2" s="54"/>
      <c r="QLG2" s="54"/>
      <c r="QLN2" s="54"/>
      <c r="QLT2" s="54"/>
      <c r="QLY2" s="54"/>
      <c r="QMF2" s="54"/>
      <c r="QML2" s="54"/>
      <c r="QMQ2" s="54"/>
      <c r="QMX2" s="54"/>
      <c r="QND2" s="54"/>
      <c r="QNI2" s="54"/>
      <c r="QNP2" s="54"/>
      <c r="QNV2" s="54"/>
      <c r="QOA2" s="54"/>
      <c r="QOH2" s="54"/>
      <c r="QON2" s="54"/>
      <c r="QOS2" s="54"/>
      <c r="QOZ2" s="54"/>
      <c r="QPF2" s="54"/>
      <c r="QPK2" s="54"/>
      <c r="QPR2" s="54"/>
      <c r="QPX2" s="54"/>
      <c r="QQC2" s="54"/>
      <c r="QQJ2" s="54"/>
      <c r="QQP2" s="54"/>
      <c r="QQU2" s="54"/>
      <c r="QRB2" s="54"/>
      <c r="QRH2" s="54"/>
      <c r="QRM2" s="54"/>
      <c r="QRT2" s="54"/>
      <c r="QRZ2" s="54"/>
      <c r="QSE2" s="54"/>
      <c r="QSL2" s="54"/>
      <c r="QSR2" s="54"/>
      <c r="QSW2" s="54"/>
      <c r="QTD2" s="54"/>
      <c r="QTJ2" s="54"/>
      <c r="QTO2" s="54"/>
      <c r="QTV2" s="54"/>
      <c r="QUB2" s="54"/>
      <c r="QUG2" s="54"/>
      <c r="QUN2" s="54"/>
      <c r="QUT2" s="54"/>
      <c r="QUY2" s="54"/>
      <c r="QVF2" s="54"/>
      <c r="QVL2" s="54"/>
      <c r="QVQ2" s="54"/>
      <c r="QVX2" s="54"/>
      <c r="QWD2" s="54"/>
      <c r="QWI2" s="54"/>
      <c r="QWP2" s="54"/>
      <c r="QWV2" s="54"/>
      <c r="QXA2" s="54"/>
      <c r="QXH2" s="54"/>
      <c r="QXN2" s="54"/>
      <c r="QXS2" s="54"/>
      <c r="QXZ2" s="54"/>
      <c r="QYF2" s="54"/>
      <c r="QYK2" s="54"/>
      <c r="QYR2" s="54"/>
      <c r="QYX2" s="54"/>
      <c r="QZC2" s="54"/>
      <c r="QZJ2" s="54"/>
      <c r="QZP2" s="54"/>
      <c r="QZU2" s="54"/>
      <c r="RAB2" s="54"/>
      <c r="RAH2" s="54"/>
      <c r="RAM2" s="54"/>
      <c r="RAT2" s="54"/>
      <c r="RAZ2" s="54"/>
      <c r="RBE2" s="54"/>
      <c r="RBL2" s="54"/>
      <c r="RBR2" s="54"/>
      <c r="RBW2" s="54"/>
      <c r="RCD2" s="54"/>
      <c r="RCJ2" s="54"/>
      <c r="RCO2" s="54"/>
      <c r="RCV2" s="54"/>
      <c r="RDB2" s="54"/>
      <c r="RDG2" s="54"/>
      <c r="RDN2" s="54"/>
      <c r="RDT2" s="54"/>
      <c r="RDY2" s="54"/>
      <c r="REF2" s="54"/>
      <c r="REL2" s="54"/>
      <c r="REQ2" s="54"/>
      <c r="REX2" s="54"/>
      <c r="RFD2" s="54"/>
      <c r="RFI2" s="54"/>
      <c r="RFP2" s="54"/>
      <c r="RFV2" s="54"/>
      <c r="RGA2" s="54"/>
      <c r="RGH2" s="54"/>
      <c r="RGN2" s="54"/>
      <c r="RGS2" s="54"/>
      <c r="RGZ2" s="54"/>
      <c r="RHF2" s="54"/>
      <c r="RHK2" s="54"/>
      <c r="RHR2" s="54"/>
      <c r="RHX2" s="54"/>
      <c r="RIC2" s="54"/>
      <c r="RIJ2" s="54"/>
      <c r="RIP2" s="54"/>
      <c r="RIU2" s="54"/>
      <c r="RJB2" s="54"/>
      <c r="RJH2" s="54"/>
      <c r="RJM2" s="54"/>
      <c r="RJT2" s="54"/>
      <c r="RJZ2" s="54"/>
      <c r="RKE2" s="54"/>
      <c r="RKL2" s="54"/>
      <c r="RKR2" s="54"/>
      <c r="RKW2" s="54"/>
      <c r="RLD2" s="54"/>
      <c r="RLJ2" s="54"/>
      <c r="RLO2" s="54"/>
      <c r="RLV2" s="54"/>
      <c r="RMB2" s="54"/>
      <c r="RMG2" s="54"/>
      <c r="RMN2" s="54"/>
      <c r="RMT2" s="54"/>
      <c r="RMY2" s="54"/>
      <c r="RNF2" s="54"/>
      <c r="RNL2" s="54"/>
      <c r="RNQ2" s="54"/>
      <c r="RNX2" s="54"/>
      <c r="ROD2" s="54"/>
      <c r="ROI2" s="54"/>
      <c r="ROP2" s="54"/>
      <c r="ROV2" s="54"/>
      <c r="RPA2" s="54"/>
      <c r="RPH2" s="54"/>
      <c r="RPN2" s="54"/>
      <c r="RPS2" s="54"/>
      <c r="RPZ2" s="54"/>
      <c r="RQF2" s="54"/>
      <c r="RQK2" s="54"/>
      <c r="RQR2" s="54"/>
      <c r="RQX2" s="54"/>
      <c r="RRC2" s="54"/>
      <c r="RRJ2" s="54"/>
      <c r="RRP2" s="54"/>
      <c r="RRU2" s="54"/>
      <c r="RSB2" s="54"/>
      <c r="RSH2" s="54"/>
      <c r="RSM2" s="54"/>
      <c r="RST2" s="54"/>
      <c r="RSZ2" s="54"/>
      <c r="RTE2" s="54"/>
      <c r="RTL2" s="54"/>
      <c r="RTR2" s="54"/>
      <c r="RTW2" s="54"/>
      <c r="RUD2" s="54"/>
      <c r="RUJ2" s="54"/>
      <c r="RUO2" s="54"/>
      <c r="RUV2" s="54"/>
      <c r="RVB2" s="54"/>
      <c r="RVG2" s="54"/>
      <c r="RVN2" s="54"/>
      <c r="RVT2" s="54"/>
      <c r="RVY2" s="54"/>
      <c r="RWF2" s="54"/>
      <c r="RWL2" s="54"/>
      <c r="RWQ2" s="54"/>
      <c r="RWX2" s="54"/>
      <c r="RXD2" s="54"/>
      <c r="RXI2" s="54"/>
      <c r="RXP2" s="54"/>
      <c r="RXV2" s="54"/>
      <c r="RYA2" s="54"/>
      <c r="RYH2" s="54"/>
      <c r="RYN2" s="54"/>
      <c r="RYS2" s="54"/>
      <c r="RYZ2" s="54"/>
      <c r="RZF2" s="54"/>
      <c r="RZK2" s="54"/>
      <c r="RZR2" s="54"/>
      <c r="RZX2" s="54"/>
      <c r="SAC2" s="54"/>
      <c r="SAJ2" s="54"/>
      <c r="SAP2" s="54"/>
      <c r="SAU2" s="54"/>
      <c r="SBB2" s="54"/>
      <c r="SBH2" s="54"/>
      <c r="SBM2" s="54"/>
      <c r="SBT2" s="54"/>
      <c r="SBZ2" s="54"/>
      <c r="SCE2" s="54"/>
      <c r="SCL2" s="54"/>
      <c r="SCR2" s="54"/>
      <c r="SCW2" s="54"/>
      <c r="SDD2" s="54"/>
      <c r="SDJ2" s="54"/>
      <c r="SDO2" s="54"/>
      <c r="SDV2" s="54"/>
      <c r="SEB2" s="54"/>
      <c r="SEG2" s="54"/>
      <c r="SEN2" s="54"/>
      <c r="SET2" s="54"/>
      <c r="SEY2" s="54"/>
      <c r="SFF2" s="54"/>
      <c r="SFL2" s="54"/>
      <c r="SFQ2" s="54"/>
      <c r="SFX2" s="54"/>
      <c r="SGD2" s="54"/>
      <c r="SGI2" s="54"/>
      <c r="SGP2" s="54"/>
      <c r="SGV2" s="54"/>
      <c r="SHA2" s="54"/>
      <c r="SHH2" s="54"/>
      <c r="SHN2" s="54"/>
      <c r="SHS2" s="54"/>
      <c r="SHZ2" s="54"/>
      <c r="SIF2" s="54"/>
      <c r="SIK2" s="54"/>
      <c r="SIR2" s="54"/>
      <c r="SIX2" s="54"/>
      <c r="SJC2" s="54"/>
      <c r="SJJ2" s="54"/>
      <c r="SJP2" s="54"/>
      <c r="SJU2" s="54"/>
      <c r="SKB2" s="54"/>
      <c r="SKH2" s="54"/>
      <c r="SKM2" s="54"/>
      <c r="SKT2" s="54"/>
      <c r="SKZ2" s="54"/>
      <c r="SLE2" s="54"/>
      <c r="SLL2" s="54"/>
      <c r="SLR2" s="54"/>
      <c r="SLW2" s="54"/>
      <c r="SMD2" s="54"/>
      <c r="SMJ2" s="54"/>
      <c r="SMO2" s="54"/>
      <c r="SMV2" s="54"/>
      <c r="SNB2" s="54"/>
      <c r="SNG2" s="54"/>
      <c r="SNN2" s="54"/>
      <c r="SNT2" s="54"/>
      <c r="SNY2" s="54"/>
      <c r="SOF2" s="54"/>
      <c r="SOL2" s="54"/>
      <c r="SOQ2" s="54"/>
      <c r="SOX2" s="54"/>
      <c r="SPD2" s="54"/>
      <c r="SPI2" s="54"/>
      <c r="SPP2" s="54"/>
      <c r="SPV2" s="54"/>
      <c r="SQA2" s="54"/>
      <c r="SQH2" s="54"/>
      <c r="SQN2" s="54"/>
      <c r="SQS2" s="54"/>
      <c r="SQZ2" s="54"/>
      <c r="SRF2" s="54"/>
      <c r="SRK2" s="54"/>
      <c r="SRR2" s="54"/>
      <c r="SRX2" s="54"/>
      <c r="SSC2" s="54"/>
      <c r="SSJ2" s="54"/>
      <c r="SSP2" s="54"/>
      <c r="SSU2" s="54"/>
      <c r="STB2" s="54"/>
      <c r="STH2" s="54"/>
      <c r="STM2" s="54"/>
      <c r="STT2" s="54"/>
      <c r="STZ2" s="54"/>
      <c r="SUE2" s="54"/>
      <c r="SUL2" s="54"/>
      <c r="SUR2" s="54"/>
      <c r="SUW2" s="54"/>
      <c r="SVD2" s="54"/>
      <c r="SVJ2" s="54"/>
      <c r="SVO2" s="54"/>
      <c r="SVV2" s="54"/>
      <c r="SWB2" s="54"/>
      <c r="SWG2" s="54"/>
      <c r="SWN2" s="54"/>
      <c r="SWT2" s="54"/>
      <c r="SWY2" s="54"/>
      <c r="SXF2" s="54"/>
      <c r="SXL2" s="54"/>
      <c r="SXQ2" s="54"/>
      <c r="SXX2" s="54"/>
      <c r="SYD2" s="54"/>
      <c r="SYI2" s="54"/>
      <c r="SYP2" s="54"/>
      <c r="SYV2" s="54"/>
      <c r="SZA2" s="54"/>
      <c r="SZH2" s="54"/>
      <c r="SZN2" s="54"/>
      <c r="SZS2" s="54"/>
      <c r="SZZ2" s="54"/>
      <c r="TAF2" s="54"/>
      <c r="TAK2" s="54"/>
      <c r="TAR2" s="54"/>
      <c r="TAX2" s="54"/>
      <c r="TBC2" s="54"/>
      <c r="TBJ2" s="54"/>
      <c r="TBP2" s="54"/>
      <c r="TBU2" s="54"/>
      <c r="TCB2" s="54"/>
      <c r="TCH2" s="54"/>
      <c r="TCM2" s="54"/>
      <c r="TCT2" s="54"/>
      <c r="TCZ2" s="54"/>
      <c r="TDE2" s="54"/>
      <c r="TDL2" s="54"/>
      <c r="TDR2" s="54"/>
      <c r="TDW2" s="54"/>
      <c r="TED2" s="54"/>
      <c r="TEJ2" s="54"/>
      <c r="TEO2" s="54"/>
      <c r="TEV2" s="54"/>
      <c r="TFB2" s="54"/>
      <c r="TFG2" s="54"/>
      <c r="TFN2" s="54"/>
      <c r="TFT2" s="54"/>
      <c r="TFY2" s="54"/>
      <c r="TGF2" s="54"/>
      <c r="TGL2" s="54"/>
      <c r="TGQ2" s="54"/>
      <c r="TGX2" s="54"/>
      <c r="THD2" s="54"/>
      <c r="THI2" s="54"/>
      <c r="THP2" s="54"/>
      <c r="THV2" s="54"/>
      <c r="TIA2" s="54"/>
      <c r="TIH2" s="54"/>
      <c r="TIN2" s="54"/>
      <c r="TIS2" s="54"/>
      <c r="TIZ2" s="54"/>
      <c r="TJF2" s="54"/>
      <c r="TJK2" s="54"/>
      <c r="TJR2" s="54"/>
      <c r="TJX2" s="54"/>
      <c r="TKC2" s="54"/>
      <c r="TKJ2" s="54"/>
      <c r="TKP2" s="54"/>
      <c r="TKU2" s="54"/>
      <c r="TLB2" s="54"/>
      <c r="TLH2" s="54"/>
      <c r="TLM2" s="54"/>
      <c r="TLT2" s="54"/>
      <c r="TLZ2" s="54"/>
      <c r="TME2" s="54"/>
      <c r="TML2" s="54"/>
      <c r="TMR2" s="54"/>
      <c r="TMW2" s="54"/>
      <c r="TND2" s="54"/>
      <c r="TNJ2" s="54"/>
      <c r="TNO2" s="54"/>
      <c r="TNV2" s="54"/>
      <c r="TOB2" s="54"/>
      <c r="TOG2" s="54"/>
      <c r="TON2" s="54"/>
      <c r="TOT2" s="54"/>
      <c r="TOY2" s="54"/>
      <c r="TPF2" s="54"/>
      <c r="TPL2" s="54"/>
      <c r="TPQ2" s="54"/>
      <c r="TPX2" s="54"/>
      <c r="TQD2" s="54"/>
      <c r="TQI2" s="54"/>
      <c r="TQP2" s="54"/>
      <c r="TQV2" s="54"/>
      <c r="TRA2" s="54"/>
      <c r="TRH2" s="54"/>
      <c r="TRN2" s="54"/>
      <c r="TRS2" s="54"/>
      <c r="TRZ2" s="54"/>
      <c r="TSF2" s="54"/>
      <c r="TSK2" s="54"/>
      <c r="TSR2" s="54"/>
      <c r="TSX2" s="54"/>
      <c r="TTC2" s="54"/>
      <c r="TTJ2" s="54"/>
      <c r="TTP2" s="54"/>
      <c r="TTU2" s="54"/>
      <c r="TUB2" s="54"/>
      <c r="TUH2" s="54"/>
      <c r="TUM2" s="54"/>
      <c r="TUT2" s="54"/>
      <c r="TUZ2" s="54"/>
      <c r="TVE2" s="54"/>
      <c r="TVL2" s="54"/>
      <c r="TVR2" s="54"/>
      <c r="TVW2" s="54"/>
      <c r="TWD2" s="54"/>
      <c r="TWJ2" s="54"/>
      <c r="TWO2" s="54"/>
      <c r="TWV2" s="54"/>
      <c r="TXB2" s="54"/>
      <c r="TXG2" s="54"/>
      <c r="TXN2" s="54"/>
      <c r="TXT2" s="54"/>
      <c r="TXY2" s="54"/>
      <c r="TYF2" s="54"/>
      <c r="TYL2" s="54"/>
      <c r="TYQ2" s="54"/>
      <c r="TYX2" s="54"/>
      <c r="TZD2" s="54"/>
      <c r="TZI2" s="54"/>
      <c r="TZP2" s="54"/>
      <c r="TZV2" s="54"/>
      <c r="UAA2" s="54"/>
      <c r="UAH2" s="54"/>
      <c r="UAN2" s="54"/>
      <c r="UAS2" s="54"/>
      <c r="UAZ2" s="54"/>
      <c r="UBF2" s="54"/>
      <c r="UBK2" s="54"/>
      <c r="UBR2" s="54"/>
      <c r="UBX2" s="54"/>
      <c r="UCC2" s="54"/>
      <c r="UCJ2" s="54"/>
      <c r="UCP2" s="54"/>
      <c r="UCU2" s="54"/>
      <c r="UDB2" s="54"/>
      <c r="UDH2" s="54"/>
      <c r="UDM2" s="54"/>
      <c r="UDT2" s="54"/>
      <c r="UDZ2" s="54"/>
      <c r="UEE2" s="54"/>
      <c r="UEL2" s="54"/>
      <c r="UER2" s="54"/>
      <c r="UEW2" s="54"/>
      <c r="UFD2" s="54"/>
      <c r="UFJ2" s="54"/>
      <c r="UFO2" s="54"/>
      <c r="UFV2" s="54"/>
      <c r="UGB2" s="54"/>
      <c r="UGG2" s="54"/>
      <c r="UGN2" s="54"/>
      <c r="UGT2" s="54"/>
      <c r="UGY2" s="54"/>
      <c r="UHF2" s="54"/>
      <c r="UHL2" s="54"/>
      <c r="UHQ2" s="54"/>
      <c r="UHX2" s="54"/>
      <c r="UID2" s="54"/>
      <c r="UII2" s="54"/>
      <c r="UIP2" s="54"/>
      <c r="UIV2" s="54"/>
      <c r="UJA2" s="54"/>
      <c r="UJH2" s="54"/>
      <c r="UJN2" s="54"/>
      <c r="UJS2" s="54"/>
      <c r="UJZ2" s="54"/>
      <c r="UKF2" s="54"/>
      <c r="UKK2" s="54"/>
      <c r="UKR2" s="54"/>
      <c r="UKX2" s="54"/>
      <c r="ULC2" s="54"/>
      <c r="ULJ2" s="54"/>
      <c r="ULP2" s="54"/>
      <c r="ULU2" s="54"/>
      <c r="UMB2" s="54"/>
      <c r="UMH2" s="54"/>
      <c r="UMM2" s="54"/>
      <c r="UMT2" s="54"/>
      <c r="UMZ2" s="54"/>
      <c r="UNE2" s="54"/>
      <c r="UNL2" s="54"/>
      <c r="UNR2" s="54"/>
      <c r="UNW2" s="54"/>
      <c r="UOD2" s="54"/>
      <c r="UOJ2" s="54"/>
      <c r="UOO2" s="54"/>
      <c r="UOV2" s="54"/>
      <c r="UPB2" s="54"/>
      <c r="UPG2" s="54"/>
      <c r="UPN2" s="54"/>
      <c r="UPT2" s="54"/>
      <c r="UPY2" s="54"/>
      <c r="UQF2" s="54"/>
      <c r="UQL2" s="54"/>
      <c r="UQQ2" s="54"/>
      <c r="UQX2" s="54"/>
      <c r="URD2" s="54"/>
      <c r="URI2" s="54"/>
      <c r="URP2" s="54"/>
      <c r="URV2" s="54"/>
      <c r="USA2" s="54"/>
      <c r="USH2" s="54"/>
      <c r="USN2" s="54"/>
      <c r="USS2" s="54"/>
      <c r="USZ2" s="54"/>
      <c r="UTF2" s="54"/>
      <c r="UTK2" s="54"/>
      <c r="UTR2" s="54"/>
      <c r="UTX2" s="54"/>
      <c r="UUC2" s="54"/>
      <c r="UUJ2" s="54"/>
      <c r="UUP2" s="54"/>
      <c r="UUU2" s="54"/>
      <c r="UVB2" s="54"/>
      <c r="UVH2" s="54"/>
      <c r="UVM2" s="54"/>
      <c r="UVT2" s="54"/>
      <c r="UVZ2" s="54"/>
      <c r="UWE2" s="54"/>
      <c r="UWL2" s="54"/>
      <c r="UWR2" s="54"/>
      <c r="UWW2" s="54"/>
      <c r="UXD2" s="54"/>
      <c r="UXJ2" s="54"/>
      <c r="UXO2" s="54"/>
      <c r="UXV2" s="54"/>
      <c r="UYB2" s="54"/>
      <c r="UYG2" s="54"/>
      <c r="UYN2" s="54"/>
      <c r="UYT2" s="54"/>
      <c r="UYY2" s="54"/>
      <c r="UZF2" s="54"/>
      <c r="UZL2" s="54"/>
      <c r="UZQ2" s="54"/>
      <c r="UZX2" s="54"/>
      <c r="VAD2" s="54"/>
      <c r="VAI2" s="54"/>
      <c r="VAP2" s="54"/>
      <c r="VAV2" s="54"/>
      <c r="VBA2" s="54"/>
      <c r="VBH2" s="54"/>
      <c r="VBN2" s="54"/>
      <c r="VBS2" s="54"/>
      <c r="VBZ2" s="54"/>
      <c r="VCF2" s="54"/>
      <c r="VCK2" s="54"/>
      <c r="VCR2" s="54"/>
      <c r="VCX2" s="54"/>
      <c r="VDC2" s="54"/>
      <c r="VDJ2" s="54"/>
      <c r="VDP2" s="54"/>
      <c r="VDU2" s="54"/>
      <c r="VEB2" s="54"/>
      <c r="VEH2" s="54"/>
      <c r="VEM2" s="54"/>
      <c r="VET2" s="54"/>
      <c r="VEZ2" s="54"/>
      <c r="VFE2" s="54"/>
      <c r="VFL2" s="54"/>
      <c r="VFR2" s="54"/>
      <c r="VFW2" s="54"/>
      <c r="VGD2" s="54"/>
      <c r="VGJ2" s="54"/>
      <c r="VGO2" s="54"/>
      <c r="VGV2" s="54"/>
      <c r="VHB2" s="54"/>
      <c r="VHG2" s="54"/>
      <c r="VHN2" s="54"/>
      <c r="VHT2" s="54"/>
      <c r="VHY2" s="54"/>
      <c r="VIF2" s="54"/>
      <c r="VIL2" s="54"/>
      <c r="VIQ2" s="54"/>
      <c r="VIX2" s="54"/>
      <c r="VJD2" s="54"/>
      <c r="VJI2" s="54"/>
      <c r="VJP2" s="54"/>
      <c r="VJV2" s="54"/>
      <c r="VKA2" s="54"/>
      <c r="VKH2" s="54"/>
      <c r="VKN2" s="54"/>
      <c r="VKS2" s="54"/>
      <c r="VKZ2" s="54"/>
      <c r="VLF2" s="54"/>
      <c r="VLK2" s="54"/>
      <c r="VLR2" s="54"/>
      <c r="VLX2" s="54"/>
      <c r="VMC2" s="54"/>
      <c r="VMJ2" s="54"/>
      <c r="VMP2" s="54"/>
      <c r="VMU2" s="54"/>
      <c r="VNB2" s="54"/>
      <c r="VNH2" s="54"/>
      <c r="VNM2" s="54"/>
      <c r="VNT2" s="54"/>
      <c r="VNZ2" s="54"/>
      <c r="VOE2" s="54"/>
      <c r="VOL2" s="54"/>
      <c r="VOR2" s="54"/>
      <c r="VOW2" s="54"/>
      <c r="VPD2" s="54"/>
      <c r="VPJ2" s="54"/>
      <c r="VPO2" s="54"/>
      <c r="VPV2" s="54"/>
      <c r="VQB2" s="54"/>
      <c r="VQG2" s="54"/>
      <c r="VQN2" s="54"/>
      <c r="VQT2" s="54"/>
      <c r="VQY2" s="54"/>
      <c r="VRF2" s="54"/>
      <c r="VRL2" s="54"/>
      <c r="VRQ2" s="54"/>
      <c r="VRX2" s="54"/>
      <c r="VSD2" s="54"/>
      <c r="VSI2" s="54"/>
      <c r="VSP2" s="54"/>
      <c r="VSV2" s="54"/>
      <c r="VTA2" s="54"/>
      <c r="VTH2" s="54"/>
      <c r="VTN2" s="54"/>
      <c r="VTS2" s="54"/>
      <c r="VTZ2" s="54"/>
      <c r="VUF2" s="54"/>
      <c r="VUK2" s="54"/>
      <c r="VUR2" s="54"/>
      <c r="VUX2" s="54"/>
      <c r="VVC2" s="54"/>
      <c r="VVJ2" s="54"/>
      <c r="VVP2" s="54"/>
      <c r="VVU2" s="54"/>
      <c r="VWB2" s="54"/>
      <c r="VWH2" s="54"/>
      <c r="VWM2" s="54"/>
      <c r="VWT2" s="54"/>
      <c r="VWZ2" s="54"/>
      <c r="VXE2" s="54"/>
      <c r="VXL2" s="54"/>
      <c r="VXR2" s="54"/>
      <c r="VXW2" s="54"/>
      <c r="VYD2" s="54"/>
      <c r="VYJ2" s="54"/>
      <c r="VYO2" s="54"/>
      <c r="VYV2" s="54"/>
      <c r="VZB2" s="54"/>
      <c r="VZG2" s="54"/>
      <c r="VZN2" s="54"/>
      <c r="VZT2" s="54"/>
      <c r="VZY2" s="54"/>
      <c r="WAF2" s="54"/>
      <c r="WAL2" s="54"/>
      <c r="WAQ2" s="54"/>
      <c r="WAX2" s="54"/>
      <c r="WBD2" s="54"/>
      <c r="WBI2" s="54"/>
      <c r="WBP2" s="54"/>
      <c r="WBV2" s="54"/>
      <c r="WCA2" s="54"/>
      <c r="WCH2" s="54"/>
      <c r="WCN2" s="54"/>
      <c r="WCS2" s="54"/>
      <c r="WCZ2" s="54"/>
      <c r="WDF2" s="54"/>
      <c r="WDK2" s="54"/>
      <c r="WDR2" s="54"/>
      <c r="WDX2" s="54"/>
      <c r="WEC2" s="54"/>
      <c r="WEJ2" s="54"/>
      <c r="WEP2" s="54"/>
      <c r="WEU2" s="54"/>
      <c r="WFB2" s="54"/>
      <c r="WFH2" s="54"/>
      <c r="WFM2" s="54"/>
      <c r="WFT2" s="54"/>
      <c r="WFZ2" s="54"/>
      <c r="WGE2" s="54"/>
      <c r="WGL2" s="54"/>
      <c r="WGR2" s="54"/>
      <c r="WGW2" s="54"/>
      <c r="WHD2" s="54"/>
      <c r="WHJ2" s="54"/>
      <c r="WHO2" s="54"/>
      <c r="WHV2" s="54"/>
      <c r="WIB2" s="54"/>
      <c r="WIG2" s="54"/>
      <c r="WIN2" s="54"/>
      <c r="WIT2" s="54"/>
      <c r="WIY2" s="54"/>
      <c r="WJF2" s="54"/>
      <c r="WJL2" s="54"/>
      <c r="WJQ2" s="54"/>
      <c r="WJX2" s="54"/>
      <c r="WKD2" s="54"/>
      <c r="WKI2" s="54"/>
      <c r="WKP2" s="54"/>
      <c r="WKV2" s="54"/>
      <c r="WLA2" s="54"/>
      <c r="WLH2" s="54"/>
      <c r="WLN2" s="54"/>
      <c r="WLS2" s="54"/>
      <c r="WLZ2" s="54"/>
      <c r="WMF2" s="54"/>
      <c r="WMK2" s="54"/>
      <c r="WMR2" s="54"/>
      <c r="WMX2" s="54"/>
      <c r="WNC2" s="54"/>
      <c r="WNJ2" s="54"/>
      <c r="WNP2" s="54"/>
      <c r="WNU2" s="54"/>
      <c r="WOB2" s="54"/>
      <c r="WOH2" s="54"/>
      <c r="WOM2" s="54"/>
      <c r="WOT2" s="54"/>
      <c r="WOZ2" s="54"/>
      <c r="WPE2" s="54"/>
      <c r="WPL2" s="54"/>
      <c r="WPR2" s="54"/>
      <c r="WPW2" s="54"/>
      <c r="WQD2" s="54"/>
      <c r="WQJ2" s="54"/>
      <c r="WQO2" s="54"/>
      <c r="WQV2" s="54"/>
      <c r="WRB2" s="54"/>
      <c r="WRG2" s="54"/>
      <c r="WRN2" s="54"/>
      <c r="WRT2" s="54"/>
      <c r="WRY2" s="54"/>
      <c r="WSF2" s="54"/>
      <c r="WSL2" s="54"/>
      <c r="WSQ2" s="54"/>
      <c r="WSX2" s="54"/>
      <c r="WTD2" s="54"/>
      <c r="WTI2" s="54"/>
      <c r="WTP2" s="54"/>
      <c r="WTV2" s="54"/>
      <c r="WUA2" s="54"/>
      <c r="WUH2" s="54"/>
      <c r="WUN2" s="54"/>
      <c r="WUS2" s="54"/>
      <c r="WUZ2" s="54"/>
      <c r="WVF2" s="54"/>
      <c r="WVK2" s="54"/>
      <c r="WVR2" s="54"/>
      <c r="WVX2" s="54"/>
      <c r="WWC2" s="54"/>
      <c r="WWJ2" s="54"/>
      <c r="WWP2" s="54"/>
      <c r="WWU2" s="54"/>
      <c r="WXB2" s="54"/>
      <c r="WXH2" s="54"/>
      <c r="WXM2" s="54"/>
      <c r="WXT2" s="54"/>
      <c r="WXZ2" s="54"/>
      <c r="WYE2" s="54"/>
      <c r="WYL2" s="54"/>
      <c r="WYR2" s="54"/>
      <c r="WYW2" s="54"/>
      <c r="WZD2" s="54"/>
      <c r="WZJ2" s="54"/>
      <c r="WZO2" s="54"/>
      <c r="WZV2" s="54"/>
      <c r="XAB2" s="54"/>
      <c r="XAG2" s="54"/>
      <c r="XAN2" s="54"/>
      <c r="XAT2" s="54"/>
      <c r="XAY2" s="54"/>
      <c r="XBF2" s="54"/>
      <c r="XBL2" s="54"/>
      <c r="XBQ2" s="54"/>
      <c r="XBX2" s="54"/>
      <c r="XCD2" s="54"/>
      <c r="XCI2" s="54"/>
      <c r="XCP2" s="54"/>
      <c r="XCV2" s="54"/>
      <c r="XDA2" s="54"/>
      <c r="XDH2" s="54"/>
      <c r="XDN2" s="54"/>
      <c r="XDS2" s="54"/>
      <c r="XDZ2" s="54"/>
      <c r="XEF2" s="54"/>
      <c r="XEK2" s="54"/>
      <c r="XER2" s="54"/>
      <c r="XEX2" s="54"/>
      <c r="XFC2" s="54"/>
    </row>
    <row r="3" spans="1:1024 1029:2044 2050:3070 3076:4096 4102:5115 5122:6141 6148:7167 7174:8188 8193:9214 9219:10240 10245:11260 11266:12286 12292:13312 13318:14331 14338:15357 15364:16383" ht="60" hidden="1">
      <c r="A3" s="53" t="s">
        <v>18</v>
      </c>
      <c r="B3" s="3" t="s">
        <v>44</v>
      </c>
      <c r="C3" s="9" t="s">
        <v>49</v>
      </c>
      <c r="D3" s="3" t="s">
        <v>50</v>
      </c>
      <c r="E3" s="3" t="s">
        <v>51</v>
      </c>
      <c r="F3" s="3" t="s">
        <v>52</v>
      </c>
      <c r="G3" s="53"/>
      <c r="H3" s="53"/>
      <c r="I3" s="53"/>
      <c r="J3" s="54"/>
      <c r="K3" s="53"/>
      <c r="L3" s="53"/>
      <c r="M3" s="53"/>
      <c r="N3" s="53"/>
      <c r="O3" s="53"/>
      <c r="P3" s="54"/>
      <c r="Q3" s="53" t="str">
        <f>IF('Review Register'!M2="","",'Review Register'!M2)</f>
        <v/>
      </c>
      <c r="R3" s="53" t="str">
        <f>IF('Review Register'!D2="","",'Review Register'!D2)</f>
        <v/>
      </c>
    </row>
    <row r="4" spans="1:1024 1029:2044 2050:3070 3076:4096 4102:5115 5122:6141 6148:7167 7174:8188 8193:9214 9219:10240 10245:11260 11266:12286 12292:13312 13318:14331 14338:15357 15364:16383" ht="45" hidden="1">
      <c r="A4" s="53" t="s">
        <v>18</v>
      </c>
      <c r="B4" s="3" t="s">
        <v>44</v>
      </c>
      <c r="C4" s="9" t="s">
        <v>53</v>
      </c>
      <c r="D4" s="3" t="s">
        <v>54</v>
      </c>
      <c r="E4" s="3" t="s">
        <v>55</v>
      </c>
      <c r="F4" s="3" t="s">
        <v>56</v>
      </c>
      <c r="G4" s="53"/>
      <c r="H4" s="53"/>
      <c r="I4" s="53"/>
      <c r="J4" s="54"/>
      <c r="K4" s="53"/>
      <c r="L4" s="53"/>
      <c r="M4" s="53"/>
      <c r="N4" s="53"/>
      <c r="O4" s="53"/>
      <c r="P4" s="54"/>
      <c r="Q4" s="53" t="str">
        <f>IF('Review Register'!M2="","",'Review Register'!M2)</f>
        <v/>
      </c>
      <c r="R4" s="53" t="str">
        <f>IF('Review Register'!D2="","",'Review Register'!D2)</f>
        <v/>
      </c>
    </row>
    <row r="5" spans="1:1024 1029:2044 2050:3070 3076:4096 4102:5115 5122:6141 6148:7167 7174:8188 8193:9214 9219:10240 10245:11260 11266:12286 12292:13312 13318:14331 14338:15357 15364:16383" ht="60">
      <c r="A5" s="53" t="s">
        <v>18</v>
      </c>
      <c r="B5" s="3" t="s">
        <v>57</v>
      </c>
      <c r="C5" s="9" t="s">
        <v>58</v>
      </c>
      <c r="D5" s="3" t="s">
        <v>59</v>
      </c>
      <c r="E5" s="3" t="s">
        <v>60</v>
      </c>
      <c r="F5" s="3" t="s">
        <v>61</v>
      </c>
      <c r="G5" s="53"/>
      <c r="H5" s="53"/>
      <c r="I5" s="53"/>
      <c r="J5" s="54"/>
      <c r="K5" s="53"/>
      <c r="L5" s="53"/>
      <c r="M5" s="53"/>
      <c r="N5" s="53"/>
      <c r="O5" s="53"/>
      <c r="P5" s="54"/>
      <c r="Q5" s="53" t="str">
        <f>IF('Review Register'!M2="","",'Review Register'!M2)</f>
        <v/>
      </c>
      <c r="R5" s="53" t="str">
        <f>IF('Review Register'!D2="","",'Review Register'!D2)</f>
        <v/>
      </c>
    </row>
    <row r="6" spans="1:1024 1029:2044 2050:3070 3076:4096 4102:5115 5122:6141 6148:7167 7174:8188 8193:9214 9219:10240 10245:11260 11266:12286 12292:13312 13318:14331 14338:15357 15364:16383" ht="60" hidden="1">
      <c r="A6" s="53" t="s">
        <v>18</v>
      </c>
      <c r="B6" s="3" t="s">
        <v>57</v>
      </c>
      <c r="C6" s="9" t="s">
        <v>62</v>
      </c>
      <c r="D6" s="3" t="s">
        <v>63</v>
      </c>
      <c r="E6" s="3" t="s">
        <v>64</v>
      </c>
      <c r="F6" s="3" t="s">
        <v>65</v>
      </c>
      <c r="G6" s="53"/>
      <c r="H6" s="53"/>
      <c r="I6" s="53"/>
      <c r="J6" s="54"/>
      <c r="K6" s="53"/>
      <c r="L6" s="53"/>
      <c r="M6" s="53"/>
      <c r="N6" s="53"/>
      <c r="O6" s="53"/>
      <c r="P6" s="54"/>
      <c r="Q6" s="53" t="str">
        <f>IF('Review Register'!M2="","",'Review Register'!M2)</f>
        <v/>
      </c>
      <c r="R6" s="53" t="str">
        <f>IF('Review Register'!D2="","",'Review Register'!D2)</f>
        <v/>
      </c>
    </row>
    <row r="7" spans="1:1024 1029:2044 2050:3070 3076:4096 4102:5115 5122:6141 6148:7167 7174:8188 8193:9214 9219:10240 10245:11260 11266:12286 12292:13312 13318:14331 14338:15357 15364:16383" ht="75" hidden="1">
      <c r="A7" s="53" t="s">
        <v>18</v>
      </c>
      <c r="B7" s="3" t="s">
        <v>57</v>
      </c>
      <c r="C7" s="9" t="s">
        <v>66</v>
      </c>
      <c r="D7" s="3" t="s">
        <v>67</v>
      </c>
      <c r="E7" s="3" t="s">
        <v>68</v>
      </c>
      <c r="F7" s="3" t="s">
        <v>69</v>
      </c>
      <c r="G7" s="53"/>
      <c r="H7" s="53"/>
      <c r="I7" s="53"/>
      <c r="J7" s="54"/>
      <c r="K7" s="53"/>
      <c r="L7" s="53"/>
      <c r="M7" s="53"/>
      <c r="N7" s="53"/>
      <c r="O7" s="53"/>
      <c r="P7" s="54"/>
      <c r="Q7" s="53" t="str">
        <f>IF('Review Register'!M2="","",'Review Register'!M2)</f>
        <v/>
      </c>
      <c r="R7" s="53" t="str">
        <f>IF('Review Register'!D2="","",'Review Register'!D2)</f>
        <v/>
      </c>
    </row>
    <row r="8" spans="1:1024 1029:2044 2050:3070 3076:4096 4102:5115 5122:6141 6148:7167 7174:8188 8193:9214 9219:10240 10245:11260 11266:12286 12292:13312 13318:14331 14338:15357 15364:16383" ht="60">
      <c r="A8" s="53" t="s">
        <v>18</v>
      </c>
      <c r="B8" s="3" t="s">
        <v>70</v>
      </c>
      <c r="C8" s="9" t="s">
        <v>71</v>
      </c>
      <c r="D8" s="3" t="s">
        <v>532</v>
      </c>
      <c r="E8" s="3" t="s">
        <v>72</v>
      </c>
      <c r="F8" s="3" t="s">
        <v>73</v>
      </c>
      <c r="G8" s="53"/>
      <c r="H8" s="53"/>
      <c r="I8" s="53"/>
      <c r="J8" s="54"/>
      <c r="K8" s="53"/>
      <c r="L8" s="53"/>
      <c r="M8" s="53"/>
      <c r="N8" s="53"/>
      <c r="O8" s="53"/>
      <c r="P8" s="54"/>
      <c r="Q8" s="53" t="str">
        <f>IF('Review Register'!M2="","",'Review Register'!M2)</f>
        <v/>
      </c>
      <c r="R8" s="53" t="str">
        <f>IF('Review Register'!D2="","",'Review Register'!D2)</f>
        <v/>
      </c>
    </row>
    <row r="9" spans="1:1024 1029:2044 2050:3070 3076:4096 4102:5115 5122:6141 6148:7167 7174:8188 8193:9214 9219:10240 10245:11260 11266:12286 12292:13312 13318:14331 14338:15357 15364:16383" ht="60" hidden="1">
      <c r="A9" s="53" t="s">
        <v>18</v>
      </c>
      <c r="B9" s="3" t="s">
        <v>70</v>
      </c>
      <c r="C9" s="9" t="s">
        <v>74</v>
      </c>
      <c r="D9" s="3" t="s">
        <v>75</v>
      </c>
      <c r="E9" s="3" t="s">
        <v>76</v>
      </c>
      <c r="F9" s="3" t="s">
        <v>77</v>
      </c>
      <c r="G9" s="53"/>
      <c r="H9" s="53"/>
      <c r="I9" s="53"/>
      <c r="J9" s="54"/>
      <c r="K9" s="53"/>
      <c r="L9" s="53"/>
      <c r="M9" s="53"/>
      <c r="N9" s="53"/>
      <c r="O9" s="53"/>
      <c r="P9" s="54"/>
      <c r="Q9" s="53" t="str">
        <f>IF('Review Register'!M2="","",'Review Register'!M2)</f>
        <v/>
      </c>
      <c r="R9" s="53" t="str">
        <f>IF('Review Register'!D2="","",'Review Register'!D2)</f>
        <v/>
      </c>
    </row>
    <row r="10" spans="1:1024 1029:2044 2050:3070 3076:4096 4102:5115 5122:6141 6148:7167 7174:8188 8193:9214 9219:10240 10245:11260 11266:12286 12292:13312 13318:14331 14338:15357 15364:16383" ht="60" hidden="1">
      <c r="A10" s="53" t="s">
        <v>18</v>
      </c>
      <c r="B10" s="3" t="s">
        <v>70</v>
      </c>
      <c r="C10" s="9" t="s">
        <v>78</v>
      </c>
      <c r="D10" s="3" t="s">
        <v>79</v>
      </c>
      <c r="E10" s="3" t="s">
        <v>80</v>
      </c>
      <c r="F10" s="3" t="s">
        <v>81</v>
      </c>
      <c r="G10" s="53"/>
      <c r="H10" s="53"/>
      <c r="I10" s="53"/>
      <c r="J10" s="54"/>
      <c r="K10" s="53"/>
      <c r="L10" s="53"/>
      <c r="M10" s="53"/>
      <c r="N10" s="53"/>
      <c r="O10" s="53"/>
      <c r="P10" s="54"/>
      <c r="Q10" s="53" t="str">
        <f>IF('Review Register'!M2="","",'Review Register'!M2)</f>
        <v/>
      </c>
      <c r="R10" s="53" t="str">
        <f>IF('Review Register'!D2="","",'Review Register'!D2)</f>
        <v/>
      </c>
    </row>
    <row r="11" spans="1:1024 1029:2044 2050:3070 3076:4096 4102:5115 5122:6141 6148:7167 7174:8188 8193:9214 9219:10240 10245:11260 11266:12286 12292:13312 13318:14331 14338:15357 15364:16383" ht="45">
      <c r="A11" s="53" t="s">
        <v>18</v>
      </c>
      <c r="B11" s="3" t="s">
        <v>82</v>
      </c>
      <c r="C11" s="9" t="s">
        <v>83</v>
      </c>
      <c r="D11" s="3" t="s">
        <v>84</v>
      </c>
      <c r="E11" s="3" t="s">
        <v>85</v>
      </c>
      <c r="F11" s="3" t="s">
        <v>86</v>
      </c>
      <c r="G11" s="53"/>
      <c r="H11" s="53"/>
      <c r="I11" s="53"/>
      <c r="J11" s="54"/>
      <c r="K11" s="53"/>
      <c r="L11" s="53"/>
      <c r="M11" s="53"/>
      <c r="N11" s="53"/>
      <c r="O11" s="53"/>
      <c r="P11" s="54"/>
      <c r="Q11" s="53" t="str">
        <f>IF('Review Register'!M2="","",'Review Register'!M2)</f>
        <v/>
      </c>
      <c r="R11" s="53" t="str">
        <f>IF('Review Register'!D2="","",'Review Register'!D2)</f>
        <v/>
      </c>
    </row>
    <row r="12" spans="1:1024 1029:2044 2050:3070 3076:4096 4102:5115 5122:6141 6148:7167 7174:8188 8193:9214 9219:10240 10245:11260 11266:12286 12292:13312 13318:14331 14338:15357 15364:16383" ht="60" hidden="1">
      <c r="A12" s="53" t="s">
        <v>18</v>
      </c>
      <c r="B12" s="3" t="s">
        <v>82</v>
      </c>
      <c r="C12" s="9" t="s">
        <v>87</v>
      </c>
      <c r="D12" s="3" t="s">
        <v>88</v>
      </c>
      <c r="E12" s="3" t="s">
        <v>89</v>
      </c>
      <c r="F12" s="3" t="s">
        <v>90</v>
      </c>
      <c r="G12" s="53"/>
      <c r="H12" s="53"/>
      <c r="I12" s="53"/>
      <c r="J12" s="54"/>
      <c r="K12" s="53"/>
      <c r="L12" s="53"/>
      <c r="M12" s="53"/>
      <c r="N12" s="53"/>
      <c r="O12" s="53"/>
      <c r="P12" s="54"/>
      <c r="Q12" s="53" t="str">
        <f>IF('Review Register'!M2="","",'Review Register'!M2)</f>
        <v/>
      </c>
      <c r="R12" s="53" t="str">
        <f>IF('Review Register'!D2="","",'Review Register'!D2)</f>
        <v/>
      </c>
    </row>
    <row r="13" spans="1:1024 1029:2044 2050:3070 3076:4096 4102:5115 5122:6141 6148:7167 7174:8188 8193:9214 9219:10240 10245:11260 11266:12286 12292:13312 13318:14331 14338:15357 15364:16383" ht="60" hidden="1">
      <c r="A13" s="53" t="s">
        <v>18</v>
      </c>
      <c r="B13" s="3" t="s">
        <v>82</v>
      </c>
      <c r="C13" s="9" t="s">
        <v>91</v>
      </c>
      <c r="D13" s="3" t="s">
        <v>92</v>
      </c>
      <c r="E13" s="3" t="s">
        <v>93</v>
      </c>
      <c r="F13" s="3" t="s">
        <v>94</v>
      </c>
      <c r="G13" s="53"/>
      <c r="H13" s="53"/>
      <c r="I13" s="53"/>
      <c r="J13" s="54"/>
      <c r="K13" s="53"/>
      <c r="L13" s="53"/>
      <c r="M13" s="53"/>
      <c r="N13" s="53"/>
      <c r="O13" s="53"/>
      <c r="P13" s="54"/>
      <c r="Q13" s="53" t="str">
        <f>IF('Review Register'!M2="","",'Review Register'!M2)</f>
        <v/>
      </c>
      <c r="R13" s="53" t="str">
        <f>IF('Review Register'!D2="","",'Review Register'!D2)</f>
        <v/>
      </c>
    </row>
    <row r="14" spans="1:1024 1029:2044 2050:3070 3076:4096 4102:5115 5122:6141 6148:7167 7174:8188 8193:9214 9219:10240 10245:11260 11266:12286 12292:13312 13318:14331 14338:15357 15364:16383" ht="60">
      <c r="A14" s="53" t="s">
        <v>18</v>
      </c>
      <c r="B14" s="3" t="s">
        <v>95</v>
      </c>
      <c r="C14" s="9" t="s">
        <v>96</v>
      </c>
      <c r="D14" s="3" t="s">
        <v>97</v>
      </c>
      <c r="E14" s="3" t="s">
        <v>98</v>
      </c>
      <c r="F14" s="3" t="s">
        <v>99</v>
      </c>
      <c r="G14" s="53"/>
      <c r="H14" s="53"/>
      <c r="I14" s="53"/>
      <c r="J14" s="54"/>
      <c r="K14" s="53"/>
      <c r="L14" s="53"/>
      <c r="M14" s="53"/>
      <c r="N14" s="53"/>
      <c r="O14" s="53"/>
      <c r="P14" s="54"/>
      <c r="Q14" s="53" t="str">
        <f>IF('Review Register'!M2="","",'Review Register'!M2)</f>
        <v/>
      </c>
      <c r="R14" s="53" t="str">
        <f>IF('Review Register'!D2="","",'Review Register'!D2)</f>
        <v/>
      </c>
    </row>
    <row r="15" spans="1:1024 1029:2044 2050:3070 3076:4096 4102:5115 5122:6141 6148:7167 7174:8188 8193:9214 9219:10240 10245:11260 11266:12286 12292:13312 13318:14331 14338:15357 15364:16383" ht="60" hidden="1">
      <c r="A15" s="53" t="s">
        <v>18</v>
      </c>
      <c r="B15" s="3" t="s">
        <v>95</v>
      </c>
      <c r="C15" s="9" t="s">
        <v>100</v>
      </c>
      <c r="D15" s="3" t="s">
        <v>101</v>
      </c>
      <c r="E15" s="3" t="s">
        <v>102</v>
      </c>
      <c r="F15" s="3" t="s">
        <v>103</v>
      </c>
      <c r="G15" s="53"/>
      <c r="H15" s="53"/>
      <c r="I15" s="53"/>
      <c r="J15" s="54"/>
      <c r="K15" s="53"/>
      <c r="L15" s="53"/>
      <c r="M15" s="53"/>
      <c r="N15" s="53"/>
      <c r="O15" s="53"/>
      <c r="P15" s="54"/>
      <c r="Q15" s="53" t="str">
        <f>IF('Review Register'!M2="","",'Review Register'!M2)</f>
        <v/>
      </c>
      <c r="R15" s="53" t="str">
        <f>IF('Review Register'!D2="","",'Review Register'!D2)</f>
        <v/>
      </c>
    </row>
    <row r="16" spans="1:1024 1029:2044 2050:3070 3076:4096 4102:5115 5122:6141 6148:7167 7174:8188 8193:9214 9219:10240 10245:11260 11266:12286 12292:13312 13318:14331 14338:15357 15364:16383" ht="45" hidden="1">
      <c r="A16" s="53" t="s">
        <v>18</v>
      </c>
      <c r="B16" s="3" t="s">
        <v>95</v>
      </c>
      <c r="C16" s="9" t="s">
        <v>104</v>
      </c>
      <c r="D16" s="3" t="s">
        <v>105</v>
      </c>
      <c r="E16" s="3" t="s">
        <v>106</v>
      </c>
      <c r="F16" s="3" t="s">
        <v>107</v>
      </c>
      <c r="G16" s="53"/>
      <c r="H16" s="53"/>
      <c r="I16" s="53"/>
      <c r="J16" s="54"/>
      <c r="K16" s="53"/>
      <c r="L16" s="53"/>
      <c r="M16" s="53"/>
      <c r="N16" s="53"/>
      <c r="O16" s="53"/>
      <c r="P16" s="54"/>
      <c r="Q16" s="53" t="str">
        <f>IF('Review Register'!M2="","",'Review Register'!M2)</f>
        <v/>
      </c>
      <c r="R16" s="53" t="str">
        <f>IF('Review Register'!D2="","",'Review Register'!D2)</f>
        <v/>
      </c>
    </row>
    <row r="17" spans="1:18" ht="45">
      <c r="A17" s="53" t="s">
        <v>18</v>
      </c>
      <c r="B17" s="3" t="s">
        <v>108</v>
      </c>
      <c r="C17" s="9" t="s">
        <v>109</v>
      </c>
      <c r="D17" s="3" t="s">
        <v>110</v>
      </c>
      <c r="E17" s="3" t="s">
        <v>111</v>
      </c>
      <c r="F17" s="3" t="s">
        <v>112</v>
      </c>
      <c r="G17" s="53"/>
      <c r="H17" s="53"/>
      <c r="I17" s="53"/>
      <c r="J17" s="54"/>
      <c r="K17" s="53"/>
      <c r="L17" s="53"/>
      <c r="M17" s="53"/>
      <c r="N17" s="53"/>
      <c r="O17" s="53"/>
      <c r="P17" s="54"/>
      <c r="Q17" s="53" t="str">
        <f>IF('Review Register'!M2="","",'Review Register'!M2)</f>
        <v/>
      </c>
      <c r="R17" s="53" t="str">
        <f>IF('Review Register'!D2="","",'Review Register'!D2)</f>
        <v/>
      </c>
    </row>
    <row r="18" spans="1:18" ht="60" hidden="1">
      <c r="A18" s="53" t="s">
        <v>18</v>
      </c>
      <c r="B18" s="3" t="s">
        <v>108</v>
      </c>
      <c r="C18" s="9" t="s">
        <v>113</v>
      </c>
      <c r="D18" s="3" t="s">
        <v>114</v>
      </c>
      <c r="E18" s="3" t="s">
        <v>115</v>
      </c>
      <c r="F18" s="3" t="s">
        <v>116</v>
      </c>
      <c r="G18" s="53"/>
      <c r="H18" s="53"/>
      <c r="I18" s="53"/>
      <c r="J18" s="54"/>
      <c r="K18" s="53"/>
      <c r="L18" s="53"/>
      <c r="M18" s="53"/>
      <c r="N18" s="53"/>
      <c r="O18" s="53"/>
      <c r="P18" s="54"/>
      <c r="Q18" s="53" t="str">
        <f>IF('Review Register'!M2="","",'Review Register'!M2)</f>
        <v/>
      </c>
      <c r="R18" s="53" t="str">
        <f>IF('Review Register'!D2="","",'Review Register'!D2)</f>
        <v/>
      </c>
    </row>
    <row r="19" spans="1:18" ht="45" hidden="1">
      <c r="A19" s="53" t="s">
        <v>18</v>
      </c>
      <c r="B19" s="3" t="s">
        <v>108</v>
      </c>
      <c r="C19" s="9" t="s">
        <v>117</v>
      </c>
      <c r="D19" s="3" t="s">
        <v>118</v>
      </c>
      <c r="E19" s="3" t="s">
        <v>119</v>
      </c>
      <c r="F19" s="3" t="s">
        <v>120</v>
      </c>
      <c r="G19" s="53"/>
      <c r="H19" s="53"/>
      <c r="I19" s="53"/>
      <c r="J19" s="54"/>
      <c r="K19" s="53"/>
      <c r="L19" s="53"/>
      <c r="M19" s="53"/>
      <c r="N19" s="53"/>
      <c r="O19" s="53"/>
      <c r="P19" s="54"/>
      <c r="Q19" s="53" t="str">
        <f>IF('Review Register'!M2="","",'Review Register'!M2)</f>
        <v/>
      </c>
      <c r="R19" s="53" t="str">
        <f>IF('Review Register'!D2="","",'Review Register'!D2)</f>
        <v/>
      </c>
    </row>
    <row r="20" spans="1:18" ht="45">
      <c r="A20" s="53" t="s">
        <v>18</v>
      </c>
      <c r="B20" s="3" t="s">
        <v>121</v>
      </c>
      <c r="C20" s="9" t="s">
        <v>122</v>
      </c>
      <c r="D20" s="3" t="s">
        <v>123</v>
      </c>
      <c r="E20" s="3" t="s">
        <v>124</v>
      </c>
      <c r="F20" s="3" t="s">
        <v>125</v>
      </c>
      <c r="G20" s="53"/>
      <c r="H20" s="53"/>
      <c r="I20" s="53"/>
      <c r="J20" s="54"/>
      <c r="K20" s="53"/>
      <c r="L20" s="53"/>
      <c r="M20" s="53"/>
      <c r="N20" s="53"/>
      <c r="O20" s="53"/>
      <c r="P20" s="54"/>
      <c r="Q20" s="53" t="str">
        <f>IF('Review Register'!M2="","",'Review Register'!M2)</f>
        <v/>
      </c>
      <c r="R20" s="53" t="str">
        <f>IF('Review Register'!D2="","",'Review Register'!D2)</f>
        <v/>
      </c>
    </row>
    <row r="21" spans="1:18" ht="60" hidden="1">
      <c r="A21" s="53" t="s">
        <v>18</v>
      </c>
      <c r="B21" s="3" t="s">
        <v>121</v>
      </c>
      <c r="C21" s="9" t="s">
        <v>126</v>
      </c>
      <c r="D21" s="3" t="s">
        <v>127</v>
      </c>
      <c r="E21" s="3" t="s">
        <v>128</v>
      </c>
      <c r="F21" s="3" t="s">
        <v>129</v>
      </c>
      <c r="G21" s="53"/>
      <c r="H21" s="53"/>
      <c r="I21" s="53"/>
      <c r="J21" s="54"/>
      <c r="K21" s="53"/>
      <c r="L21" s="53"/>
      <c r="M21" s="53"/>
      <c r="N21" s="53"/>
      <c r="O21" s="53"/>
      <c r="P21" s="54"/>
      <c r="Q21" s="53" t="str">
        <f>IF('Review Register'!M2="","",'Review Register'!M2)</f>
        <v/>
      </c>
      <c r="R21" s="53" t="str">
        <f>IF('Review Register'!D2="","",'Review Register'!D2)</f>
        <v/>
      </c>
    </row>
    <row r="22" spans="1:18" ht="75" hidden="1">
      <c r="A22" s="53" t="s">
        <v>18</v>
      </c>
      <c r="B22" s="3" t="s">
        <v>121</v>
      </c>
      <c r="C22" s="9" t="s">
        <v>130</v>
      </c>
      <c r="D22" s="3" t="s">
        <v>131</v>
      </c>
      <c r="E22" s="3" t="s">
        <v>132</v>
      </c>
      <c r="F22" s="3" t="s">
        <v>133</v>
      </c>
      <c r="G22" s="53"/>
      <c r="H22" s="53"/>
      <c r="I22" s="53"/>
      <c r="J22" s="54"/>
      <c r="K22" s="53"/>
      <c r="L22" s="53"/>
      <c r="M22" s="53"/>
      <c r="N22" s="53"/>
      <c r="O22" s="53"/>
      <c r="P22" s="54"/>
      <c r="Q22" s="53" t="str">
        <f>IF('Review Register'!M2="","",'Review Register'!M2)</f>
        <v/>
      </c>
      <c r="R22" s="53" t="str">
        <f>IF('Review Register'!D2="","",'Review Register'!D2)</f>
        <v/>
      </c>
    </row>
    <row r="23" spans="1:18" ht="60">
      <c r="A23" s="53" t="s">
        <v>22</v>
      </c>
      <c r="B23" s="3" t="s">
        <v>44</v>
      </c>
      <c r="C23" s="9" t="s">
        <v>45</v>
      </c>
      <c r="D23" s="3" t="s">
        <v>46</v>
      </c>
      <c r="E23" s="3" t="s">
        <v>47</v>
      </c>
      <c r="F23" s="3" t="s">
        <v>48</v>
      </c>
      <c r="G23" s="53"/>
      <c r="H23" s="53"/>
      <c r="I23" s="53"/>
      <c r="J23" s="54"/>
      <c r="K23" s="53"/>
      <c r="L23" s="53"/>
      <c r="M23" s="53"/>
      <c r="N23" s="53"/>
      <c r="O23" s="53"/>
      <c r="P23" s="54"/>
      <c r="Q23" s="53" t="str">
        <f>IF('Review Register'!M3="","",'Review Register'!M3)</f>
        <v/>
      </c>
      <c r="R23" s="53" t="str">
        <f>IF('Review Register'!D3="","",'Review Register'!D3)</f>
        <v/>
      </c>
    </row>
    <row r="24" spans="1:18" ht="60" hidden="1">
      <c r="A24" s="53" t="s">
        <v>22</v>
      </c>
      <c r="B24" s="3" t="s">
        <v>44</v>
      </c>
      <c r="C24" s="9" t="s">
        <v>49</v>
      </c>
      <c r="D24" s="3" t="s">
        <v>50</v>
      </c>
      <c r="E24" s="3" t="s">
        <v>51</v>
      </c>
      <c r="F24" s="3" t="s">
        <v>52</v>
      </c>
      <c r="G24" s="53"/>
      <c r="H24" s="53"/>
      <c r="I24" s="53"/>
      <c r="J24" s="54"/>
      <c r="K24" s="53"/>
      <c r="L24" s="53"/>
      <c r="M24" s="53"/>
      <c r="N24" s="53"/>
      <c r="O24" s="53"/>
      <c r="P24" s="54"/>
      <c r="Q24" s="53" t="str">
        <f>IF('Review Register'!M3="","",'Review Register'!M3)</f>
        <v/>
      </c>
      <c r="R24" s="53" t="str">
        <f>IF('Review Register'!D3="","",'Review Register'!D3)</f>
        <v/>
      </c>
    </row>
    <row r="25" spans="1:18" ht="45" hidden="1">
      <c r="A25" s="53" t="s">
        <v>22</v>
      </c>
      <c r="B25" s="3" t="s">
        <v>44</v>
      </c>
      <c r="C25" s="9" t="s">
        <v>53</v>
      </c>
      <c r="D25" s="3" t="s">
        <v>54</v>
      </c>
      <c r="E25" s="3" t="s">
        <v>55</v>
      </c>
      <c r="F25" s="3" t="s">
        <v>56</v>
      </c>
      <c r="G25" s="53"/>
      <c r="H25" s="53"/>
      <c r="I25" s="53"/>
      <c r="J25" s="54"/>
      <c r="K25" s="53"/>
      <c r="L25" s="53"/>
      <c r="M25" s="53"/>
      <c r="N25" s="53"/>
      <c r="O25" s="53"/>
      <c r="P25" s="54"/>
      <c r="Q25" s="53" t="str">
        <f>IF('Review Register'!M3="","",'Review Register'!M3)</f>
        <v/>
      </c>
      <c r="R25" s="53" t="str">
        <f>IF('Review Register'!D3="","",'Review Register'!D3)</f>
        <v/>
      </c>
    </row>
    <row r="26" spans="1:18" ht="60">
      <c r="A26" s="53" t="s">
        <v>22</v>
      </c>
      <c r="B26" s="3" t="s">
        <v>57</v>
      </c>
      <c r="C26" s="9" t="s">
        <v>58</v>
      </c>
      <c r="D26" s="3" t="s">
        <v>59</v>
      </c>
      <c r="E26" s="3" t="s">
        <v>60</v>
      </c>
      <c r="F26" s="3" t="s">
        <v>61</v>
      </c>
      <c r="G26" s="53"/>
      <c r="H26" s="53"/>
      <c r="I26" s="53"/>
      <c r="J26" s="54"/>
      <c r="K26" s="53"/>
      <c r="L26" s="53"/>
      <c r="M26" s="53"/>
      <c r="N26" s="53"/>
      <c r="O26" s="53"/>
      <c r="P26" s="54"/>
      <c r="Q26" s="53" t="str">
        <f>IF('Review Register'!M3="","",'Review Register'!M3)</f>
        <v/>
      </c>
      <c r="R26" s="53" t="str">
        <f>IF('Review Register'!D3="","",'Review Register'!D3)</f>
        <v/>
      </c>
    </row>
    <row r="27" spans="1:18" ht="60" hidden="1">
      <c r="A27" s="53" t="s">
        <v>22</v>
      </c>
      <c r="B27" s="3" t="s">
        <v>57</v>
      </c>
      <c r="C27" s="9" t="s">
        <v>62</v>
      </c>
      <c r="D27" s="3" t="s">
        <v>63</v>
      </c>
      <c r="E27" s="3" t="s">
        <v>64</v>
      </c>
      <c r="F27" s="3" t="s">
        <v>65</v>
      </c>
      <c r="G27" s="53"/>
      <c r="H27" s="53"/>
      <c r="I27" s="53"/>
      <c r="J27" s="54"/>
      <c r="K27" s="53"/>
      <c r="L27" s="53"/>
      <c r="M27" s="53"/>
      <c r="N27" s="53"/>
      <c r="O27" s="53"/>
      <c r="P27" s="54"/>
      <c r="Q27" s="53" t="str">
        <f>IF('Review Register'!M3="","",'Review Register'!M3)</f>
        <v/>
      </c>
      <c r="R27" s="53" t="str">
        <f>IF('Review Register'!D3="","",'Review Register'!D3)</f>
        <v/>
      </c>
    </row>
    <row r="28" spans="1:18" ht="75" hidden="1">
      <c r="A28" s="53" t="s">
        <v>22</v>
      </c>
      <c r="B28" s="3" t="s">
        <v>57</v>
      </c>
      <c r="C28" s="9" t="s">
        <v>66</v>
      </c>
      <c r="D28" s="3" t="s">
        <v>67</v>
      </c>
      <c r="E28" s="3" t="s">
        <v>68</v>
      </c>
      <c r="F28" s="3" t="s">
        <v>69</v>
      </c>
      <c r="G28" s="53"/>
      <c r="H28" s="53"/>
      <c r="I28" s="53"/>
      <c r="J28" s="54"/>
      <c r="K28" s="53"/>
      <c r="L28" s="53"/>
      <c r="M28" s="53"/>
      <c r="N28" s="53"/>
      <c r="O28" s="53"/>
      <c r="P28" s="54"/>
      <c r="Q28" s="53" t="str">
        <f>IF('Review Register'!M3="","",'Review Register'!M3)</f>
        <v/>
      </c>
      <c r="R28" s="53" t="str">
        <f>IF('Review Register'!D3="","",'Review Register'!D3)</f>
        <v/>
      </c>
    </row>
    <row r="29" spans="1:18" ht="60">
      <c r="A29" s="53" t="s">
        <v>22</v>
      </c>
      <c r="B29" s="3" t="s">
        <v>70</v>
      </c>
      <c r="C29" s="9" t="s">
        <v>71</v>
      </c>
      <c r="D29" s="3" t="s">
        <v>532</v>
      </c>
      <c r="E29" s="3" t="s">
        <v>72</v>
      </c>
      <c r="F29" s="3" t="s">
        <v>73</v>
      </c>
      <c r="G29" s="53"/>
      <c r="H29" s="53"/>
      <c r="I29" s="53"/>
      <c r="J29" s="54"/>
      <c r="K29" s="53"/>
      <c r="L29" s="53"/>
      <c r="M29" s="53"/>
      <c r="N29" s="53"/>
      <c r="O29" s="53"/>
      <c r="P29" s="54"/>
      <c r="Q29" s="53" t="str">
        <f>IF('Review Register'!M3="","",'Review Register'!M3)</f>
        <v/>
      </c>
      <c r="R29" s="53" t="str">
        <f>IF('Review Register'!D3="","",'Review Register'!D3)</f>
        <v/>
      </c>
    </row>
    <row r="30" spans="1:18" ht="60" hidden="1">
      <c r="A30" s="53" t="s">
        <v>22</v>
      </c>
      <c r="B30" s="3" t="s">
        <v>70</v>
      </c>
      <c r="C30" s="9" t="s">
        <v>74</v>
      </c>
      <c r="D30" s="3" t="s">
        <v>75</v>
      </c>
      <c r="E30" s="3" t="s">
        <v>76</v>
      </c>
      <c r="F30" s="3" t="s">
        <v>77</v>
      </c>
      <c r="G30" s="53"/>
      <c r="H30" s="53"/>
      <c r="I30" s="53"/>
      <c r="J30" s="54"/>
      <c r="K30" s="53"/>
      <c r="L30" s="53"/>
      <c r="M30" s="53"/>
      <c r="N30" s="53"/>
      <c r="O30" s="53"/>
      <c r="P30" s="54"/>
      <c r="Q30" s="53" t="str">
        <f>IF('Review Register'!M3="","",'Review Register'!M3)</f>
        <v/>
      </c>
      <c r="R30" s="53" t="str">
        <f>IF('Review Register'!D3="","",'Review Register'!D3)</f>
        <v/>
      </c>
    </row>
    <row r="31" spans="1:18" ht="60" hidden="1">
      <c r="A31" s="53" t="s">
        <v>22</v>
      </c>
      <c r="B31" s="3" t="s">
        <v>70</v>
      </c>
      <c r="C31" s="9" t="s">
        <v>78</v>
      </c>
      <c r="D31" s="3" t="s">
        <v>79</v>
      </c>
      <c r="E31" s="3" t="s">
        <v>80</v>
      </c>
      <c r="F31" s="3" t="s">
        <v>81</v>
      </c>
      <c r="G31" s="53"/>
      <c r="H31" s="53"/>
      <c r="I31" s="53"/>
      <c r="J31" s="54"/>
      <c r="K31" s="53"/>
      <c r="L31" s="53"/>
      <c r="M31" s="53"/>
      <c r="N31" s="53"/>
      <c r="O31" s="53"/>
      <c r="P31" s="54"/>
      <c r="Q31" s="53" t="str">
        <f>IF('Review Register'!M3="","",'Review Register'!M3)</f>
        <v/>
      </c>
      <c r="R31" s="53" t="str">
        <f>IF('Review Register'!D3="","",'Review Register'!D3)</f>
        <v/>
      </c>
    </row>
    <row r="32" spans="1:18" ht="45">
      <c r="A32" s="53" t="s">
        <v>22</v>
      </c>
      <c r="B32" s="3" t="s">
        <v>82</v>
      </c>
      <c r="C32" s="9" t="s">
        <v>83</v>
      </c>
      <c r="D32" s="3" t="s">
        <v>84</v>
      </c>
      <c r="E32" s="3" t="s">
        <v>85</v>
      </c>
      <c r="F32" s="3" t="s">
        <v>86</v>
      </c>
      <c r="G32" s="53"/>
      <c r="H32" s="53"/>
      <c r="I32" s="53"/>
      <c r="J32" s="54"/>
      <c r="K32" s="53"/>
      <c r="L32" s="53"/>
      <c r="M32" s="53"/>
      <c r="N32" s="53"/>
      <c r="O32" s="53"/>
      <c r="P32" s="54"/>
      <c r="Q32" s="53" t="str">
        <f>IF('Review Register'!M3="","",'Review Register'!M3)</f>
        <v/>
      </c>
      <c r="R32" s="53" t="str">
        <f>IF('Review Register'!D3="","",'Review Register'!D3)</f>
        <v/>
      </c>
    </row>
    <row r="33" spans="1:18" ht="60" hidden="1">
      <c r="A33" s="53" t="s">
        <v>22</v>
      </c>
      <c r="B33" s="3" t="s">
        <v>82</v>
      </c>
      <c r="C33" s="9" t="s">
        <v>87</v>
      </c>
      <c r="D33" s="3" t="s">
        <v>88</v>
      </c>
      <c r="E33" s="3" t="s">
        <v>89</v>
      </c>
      <c r="F33" s="3" t="s">
        <v>90</v>
      </c>
      <c r="G33" s="53"/>
      <c r="H33" s="53"/>
      <c r="I33" s="53"/>
      <c r="J33" s="54"/>
      <c r="K33" s="53"/>
      <c r="L33" s="53"/>
      <c r="M33" s="53"/>
      <c r="N33" s="53"/>
      <c r="O33" s="53"/>
      <c r="P33" s="54"/>
      <c r="Q33" s="53" t="str">
        <f>IF('Review Register'!M3="","",'Review Register'!M3)</f>
        <v/>
      </c>
      <c r="R33" s="53" t="str">
        <f>IF('Review Register'!D3="","",'Review Register'!D3)</f>
        <v/>
      </c>
    </row>
    <row r="34" spans="1:18" ht="60" hidden="1">
      <c r="A34" s="53" t="s">
        <v>22</v>
      </c>
      <c r="B34" s="3" t="s">
        <v>82</v>
      </c>
      <c r="C34" s="9" t="s">
        <v>91</v>
      </c>
      <c r="D34" s="3" t="s">
        <v>92</v>
      </c>
      <c r="E34" s="3" t="s">
        <v>93</v>
      </c>
      <c r="F34" s="3" t="s">
        <v>94</v>
      </c>
      <c r="G34" s="53"/>
      <c r="H34" s="53"/>
      <c r="I34" s="53"/>
      <c r="J34" s="54"/>
      <c r="K34" s="53"/>
      <c r="L34" s="53"/>
      <c r="M34" s="53"/>
      <c r="N34" s="53"/>
      <c r="O34" s="53"/>
      <c r="P34" s="54"/>
      <c r="Q34" s="53" t="str">
        <f>IF('Review Register'!M3="","",'Review Register'!M3)</f>
        <v/>
      </c>
      <c r="R34" s="53" t="str">
        <f>IF('Review Register'!D3="","",'Review Register'!D3)</f>
        <v/>
      </c>
    </row>
    <row r="35" spans="1:18" ht="60">
      <c r="A35" s="53" t="s">
        <v>22</v>
      </c>
      <c r="B35" s="3" t="s">
        <v>95</v>
      </c>
      <c r="C35" s="9" t="s">
        <v>96</v>
      </c>
      <c r="D35" s="3" t="s">
        <v>97</v>
      </c>
      <c r="E35" s="3" t="s">
        <v>98</v>
      </c>
      <c r="F35" s="3" t="s">
        <v>99</v>
      </c>
      <c r="G35" s="53"/>
      <c r="H35" s="53"/>
      <c r="I35" s="53"/>
      <c r="J35" s="54"/>
      <c r="K35" s="53"/>
      <c r="L35" s="53"/>
      <c r="M35" s="53"/>
      <c r="N35" s="53"/>
      <c r="O35" s="53"/>
      <c r="P35" s="54"/>
      <c r="Q35" s="53" t="str">
        <f>IF('Review Register'!M3="","",'Review Register'!M3)</f>
        <v/>
      </c>
      <c r="R35" s="53" t="str">
        <f>IF('Review Register'!D3="","",'Review Register'!D3)</f>
        <v/>
      </c>
    </row>
    <row r="36" spans="1:18" ht="60" hidden="1">
      <c r="A36" s="53" t="s">
        <v>22</v>
      </c>
      <c r="B36" s="3" t="s">
        <v>95</v>
      </c>
      <c r="C36" s="9" t="s">
        <v>100</v>
      </c>
      <c r="D36" s="3" t="s">
        <v>101</v>
      </c>
      <c r="E36" s="3" t="s">
        <v>102</v>
      </c>
      <c r="F36" s="3" t="s">
        <v>103</v>
      </c>
      <c r="G36" s="53"/>
      <c r="H36" s="53"/>
      <c r="I36" s="53"/>
      <c r="J36" s="54"/>
      <c r="K36" s="53"/>
      <c r="L36" s="53"/>
      <c r="M36" s="53"/>
      <c r="N36" s="53"/>
      <c r="O36" s="53"/>
      <c r="P36" s="54"/>
      <c r="Q36" s="53" t="str">
        <f>IF('Review Register'!M3="","",'Review Register'!M3)</f>
        <v/>
      </c>
      <c r="R36" s="53" t="str">
        <f>IF('Review Register'!D3="","",'Review Register'!D3)</f>
        <v/>
      </c>
    </row>
    <row r="37" spans="1:18" ht="45" hidden="1">
      <c r="A37" s="53" t="s">
        <v>22</v>
      </c>
      <c r="B37" s="3" t="s">
        <v>95</v>
      </c>
      <c r="C37" s="9" t="s">
        <v>104</v>
      </c>
      <c r="D37" s="3" t="s">
        <v>105</v>
      </c>
      <c r="E37" s="3" t="s">
        <v>106</v>
      </c>
      <c r="F37" s="3" t="s">
        <v>107</v>
      </c>
      <c r="G37" s="53"/>
      <c r="H37" s="53"/>
      <c r="I37" s="53"/>
      <c r="J37" s="54"/>
      <c r="K37" s="53"/>
      <c r="L37" s="53"/>
      <c r="M37" s="53"/>
      <c r="N37" s="53"/>
      <c r="O37" s="53"/>
      <c r="P37" s="54"/>
      <c r="Q37" s="53" t="str">
        <f>IF('Review Register'!M3="","",'Review Register'!M3)</f>
        <v/>
      </c>
      <c r="R37" s="53" t="str">
        <f>IF('Review Register'!D3="","",'Review Register'!D3)</f>
        <v/>
      </c>
    </row>
    <row r="38" spans="1:18" ht="45">
      <c r="A38" s="53" t="s">
        <v>22</v>
      </c>
      <c r="B38" s="3" t="s">
        <v>108</v>
      </c>
      <c r="C38" s="9" t="s">
        <v>109</v>
      </c>
      <c r="D38" s="3" t="s">
        <v>110</v>
      </c>
      <c r="E38" s="3" t="s">
        <v>111</v>
      </c>
      <c r="F38" s="3" t="s">
        <v>112</v>
      </c>
      <c r="G38" s="53"/>
      <c r="H38" s="53"/>
      <c r="I38" s="53"/>
      <c r="J38" s="54"/>
      <c r="K38" s="53"/>
      <c r="L38" s="53"/>
      <c r="M38" s="53"/>
      <c r="N38" s="53"/>
      <c r="O38" s="53"/>
      <c r="P38" s="54"/>
      <c r="Q38" s="53" t="str">
        <f>IF('Review Register'!M3="","",'Review Register'!M3)</f>
        <v/>
      </c>
      <c r="R38" s="53" t="str">
        <f>IF('Review Register'!D3="","",'Review Register'!D3)</f>
        <v/>
      </c>
    </row>
    <row r="39" spans="1:18" ht="60" hidden="1">
      <c r="A39" s="53" t="s">
        <v>22</v>
      </c>
      <c r="B39" s="3" t="s">
        <v>108</v>
      </c>
      <c r="C39" s="9" t="s">
        <v>113</v>
      </c>
      <c r="D39" s="3" t="s">
        <v>114</v>
      </c>
      <c r="E39" s="3" t="s">
        <v>115</v>
      </c>
      <c r="F39" s="3" t="s">
        <v>116</v>
      </c>
      <c r="G39" s="53"/>
      <c r="H39" s="53"/>
      <c r="I39" s="53"/>
      <c r="J39" s="54"/>
      <c r="K39" s="53"/>
      <c r="L39" s="53"/>
      <c r="M39" s="53"/>
      <c r="N39" s="53"/>
      <c r="O39" s="53"/>
      <c r="P39" s="54"/>
      <c r="Q39" s="53" t="str">
        <f>IF('Review Register'!M3="","",'Review Register'!M3)</f>
        <v/>
      </c>
      <c r="R39" s="53" t="str">
        <f>IF('Review Register'!D3="","",'Review Register'!D3)</f>
        <v/>
      </c>
    </row>
    <row r="40" spans="1:18" ht="45" hidden="1">
      <c r="A40" s="53" t="s">
        <v>22</v>
      </c>
      <c r="B40" s="3" t="s">
        <v>108</v>
      </c>
      <c r="C40" s="9" t="s">
        <v>117</v>
      </c>
      <c r="D40" s="3" t="s">
        <v>118</v>
      </c>
      <c r="E40" s="3" t="s">
        <v>119</v>
      </c>
      <c r="F40" s="3" t="s">
        <v>120</v>
      </c>
      <c r="G40" s="53"/>
      <c r="H40" s="53"/>
      <c r="I40" s="53"/>
      <c r="J40" s="54"/>
      <c r="K40" s="53"/>
      <c r="L40" s="53"/>
      <c r="M40" s="53"/>
      <c r="N40" s="53"/>
      <c r="O40" s="53"/>
      <c r="P40" s="54"/>
      <c r="Q40" s="53" t="str">
        <f>IF('Review Register'!M3="","",'Review Register'!M3)</f>
        <v/>
      </c>
      <c r="R40" s="53" t="str">
        <f>IF('Review Register'!D3="","",'Review Register'!D3)</f>
        <v/>
      </c>
    </row>
    <row r="41" spans="1:18" ht="45">
      <c r="A41" s="53" t="s">
        <v>22</v>
      </c>
      <c r="B41" s="3" t="s">
        <v>121</v>
      </c>
      <c r="C41" s="9" t="s">
        <v>122</v>
      </c>
      <c r="D41" s="3" t="s">
        <v>123</v>
      </c>
      <c r="E41" s="3" t="s">
        <v>124</v>
      </c>
      <c r="F41" s="3" t="s">
        <v>125</v>
      </c>
      <c r="G41" s="53"/>
      <c r="H41" s="53"/>
      <c r="I41" s="53"/>
      <c r="J41" s="54"/>
      <c r="K41" s="53"/>
      <c r="L41" s="53"/>
      <c r="M41" s="53"/>
      <c r="N41" s="53"/>
      <c r="O41" s="53"/>
      <c r="P41" s="54"/>
      <c r="Q41" s="53" t="str">
        <f>IF('Review Register'!M3="","",'Review Register'!M3)</f>
        <v/>
      </c>
      <c r="R41" s="53" t="str">
        <f>IF('Review Register'!D3="","",'Review Register'!D3)</f>
        <v/>
      </c>
    </row>
    <row r="42" spans="1:18" ht="60" hidden="1">
      <c r="A42" s="53" t="s">
        <v>22</v>
      </c>
      <c r="B42" s="3" t="s">
        <v>121</v>
      </c>
      <c r="C42" s="9" t="s">
        <v>126</v>
      </c>
      <c r="D42" s="3" t="s">
        <v>127</v>
      </c>
      <c r="E42" s="3" t="s">
        <v>128</v>
      </c>
      <c r="F42" s="3" t="s">
        <v>129</v>
      </c>
      <c r="G42" s="53"/>
      <c r="H42" s="53"/>
      <c r="I42" s="53"/>
      <c r="J42" s="54"/>
      <c r="K42" s="53"/>
      <c r="L42" s="53"/>
      <c r="M42" s="53"/>
      <c r="N42" s="53"/>
      <c r="O42" s="53"/>
      <c r="P42" s="54"/>
      <c r="Q42" s="53" t="str">
        <f>IF('Review Register'!M3="","",'Review Register'!M3)</f>
        <v/>
      </c>
      <c r="R42" s="53" t="str">
        <f>IF('Review Register'!D3="","",'Review Register'!D3)</f>
        <v/>
      </c>
    </row>
    <row r="43" spans="1:18" ht="75" hidden="1">
      <c r="A43" s="53" t="s">
        <v>22</v>
      </c>
      <c r="B43" s="3" t="s">
        <v>121</v>
      </c>
      <c r="C43" s="9" t="s">
        <v>130</v>
      </c>
      <c r="D43" s="3" t="s">
        <v>131</v>
      </c>
      <c r="E43" s="3" t="s">
        <v>132</v>
      </c>
      <c r="F43" s="3" t="s">
        <v>133</v>
      </c>
      <c r="G43" s="53"/>
      <c r="H43" s="53"/>
      <c r="I43" s="53"/>
      <c r="J43" s="54"/>
      <c r="K43" s="53"/>
      <c r="L43" s="53"/>
      <c r="M43" s="53"/>
      <c r="N43" s="53"/>
      <c r="O43" s="53"/>
      <c r="P43" s="54"/>
      <c r="Q43" s="53" t="str">
        <f>IF('Review Register'!M3="","",'Review Register'!M3)</f>
        <v/>
      </c>
      <c r="R43" s="53" t="str">
        <f>IF('Review Register'!D3="","",'Review Register'!D3)</f>
        <v/>
      </c>
    </row>
    <row r="44" spans="1:18" ht="60">
      <c r="A44" s="53" t="s">
        <v>24</v>
      </c>
      <c r="B44" s="3" t="s">
        <v>44</v>
      </c>
      <c r="C44" s="9" t="s">
        <v>45</v>
      </c>
      <c r="D44" s="3" t="s">
        <v>46</v>
      </c>
      <c r="E44" s="3" t="s">
        <v>47</v>
      </c>
      <c r="F44" s="3" t="s">
        <v>48</v>
      </c>
      <c r="G44" s="53"/>
      <c r="H44" s="53"/>
      <c r="I44" s="53"/>
      <c r="J44" s="54"/>
      <c r="K44" s="53"/>
      <c r="L44" s="53"/>
      <c r="M44" s="53"/>
      <c r="N44" s="53"/>
      <c r="O44" s="53"/>
      <c r="P44" s="54"/>
      <c r="Q44" s="53" t="str">
        <f>IF('Review Register'!M4="","",'Review Register'!M4)</f>
        <v/>
      </c>
      <c r="R44" s="53" t="str">
        <f>IF('Review Register'!D4="","",'Review Register'!D4)</f>
        <v/>
      </c>
    </row>
    <row r="45" spans="1:18" ht="60" hidden="1">
      <c r="A45" s="53" t="s">
        <v>24</v>
      </c>
      <c r="B45" s="3" t="s">
        <v>44</v>
      </c>
      <c r="C45" s="9" t="s">
        <v>49</v>
      </c>
      <c r="D45" s="3" t="s">
        <v>50</v>
      </c>
      <c r="E45" s="3" t="s">
        <v>51</v>
      </c>
      <c r="F45" s="3" t="s">
        <v>52</v>
      </c>
      <c r="G45" s="53"/>
      <c r="H45" s="53"/>
      <c r="I45" s="53"/>
      <c r="J45" s="54"/>
      <c r="K45" s="53"/>
      <c r="L45" s="53"/>
      <c r="M45" s="53"/>
      <c r="N45" s="53"/>
      <c r="O45" s="53"/>
      <c r="P45" s="54"/>
      <c r="Q45" s="53" t="str">
        <f>IF('Review Register'!M4="","",'Review Register'!M4)</f>
        <v/>
      </c>
      <c r="R45" s="53" t="str">
        <f>IF('Review Register'!D4="","",'Review Register'!D4)</f>
        <v/>
      </c>
    </row>
    <row r="46" spans="1:18" ht="45" hidden="1">
      <c r="A46" s="53" t="s">
        <v>24</v>
      </c>
      <c r="B46" s="3" t="s">
        <v>44</v>
      </c>
      <c r="C46" s="9" t="s">
        <v>53</v>
      </c>
      <c r="D46" s="3" t="s">
        <v>54</v>
      </c>
      <c r="E46" s="3" t="s">
        <v>55</v>
      </c>
      <c r="F46" s="3" t="s">
        <v>56</v>
      </c>
      <c r="G46" s="53"/>
      <c r="H46" s="53"/>
      <c r="I46" s="53"/>
      <c r="J46" s="54"/>
      <c r="K46" s="53"/>
      <c r="L46" s="53"/>
      <c r="M46" s="53"/>
      <c r="N46" s="53"/>
      <c r="O46" s="53"/>
      <c r="P46" s="54"/>
      <c r="Q46" s="53" t="str">
        <f>IF('Review Register'!M4="","",'Review Register'!M4)</f>
        <v/>
      </c>
      <c r="R46" s="53" t="str">
        <f>IF('Review Register'!D4="","",'Review Register'!D4)</f>
        <v/>
      </c>
    </row>
    <row r="47" spans="1:18" ht="60">
      <c r="A47" s="53" t="s">
        <v>24</v>
      </c>
      <c r="B47" s="3" t="s">
        <v>57</v>
      </c>
      <c r="C47" s="9" t="s">
        <v>58</v>
      </c>
      <c r="D47" s="3" t="s">
        <v>59</v>
      </c>
      <c r="E47" s="3" t="s">
        <v>60</v>
      </c>
      <c r="F47" s="3" t="s">
        <v>61</v>
      </c>
      <c r="G47" s="53"/>
      <c r="H47" s="53"/>
      <c r="I47" s="53"/>
      <c r="J47" s="54"/>
      <c r="K47" s="53"/>
      <c r="L47" s="53"/>
      <c r="M47" s="53"/>
      <c r="N47" s="53"/>
      <c r="O47" s="53"/>
      <c r="P47" s="54"/>
      <c r="Q47" s="53" t="str">
        <f>IF('Review Register'!M4="","",'Review Register'!M4)</f>
        <v/>
      </c>
      <c r="R47" s="53" t="str">
        <f>IF('Review Register'!D4="","",'Review Register'!D4)</f>
        <v/>
      </c>
    </row>
    <row r="48" spans="1:18" ht="60" hidden="1">
      <c r="A48" s="53" t="s">
        <v>24</v>
      </c>
      <c r="B48" s="3" t="s">
        <v>57</v>
      </c>
      <c r="C48" s="9" t="s">
        <v>62</v>
      </c>
      <c r="D48" s="3" t="s">
        <v>63</v>
      </c>
      <c r="E48" s="3" t="s">
        <v>64</v>
      </c>
      <c r="F48" s="3" t="s">
        <v>65</v>
      </c>
      <c r="G48" s="53"/>
      <c r="H48" s="53"/>
      <c r="I48" s="53"/>
      <c r="J48" s="54"/>
      <c r="K48" s="53"/>
      <c r="L48" s="53"/>
      <c r="M48" s="53"/>
      <c r="N48" s="53"/>
      <c r="O48" s="53"/>
      <c r="P48" s="54"/>
      <c r="Q48" s="53" t="str">
        <f>IF('Review Register'!M4="","",'Review Register'!M4)</f>
        <v/>
      </c>
      <c r="R48" s="53" t="str">
        <f>IF('Review Register'!D4="","",'Review Register'!D4)</f>
        <v/>
      </c>
    </row>
    <row r="49" spans="1:18" ht="75" hidden="1">
      <c r="A49" s="53" t="s">
        <v>24</v>
      </c>
      <c r="B49" s="3" t="s">
        <v>57</v>
      </c>
      <c r="C49" s="9" t="s">
        <v>66</v>
      </c>
      <c r="D49" s="3" t="s">
        <v>67</v>
      </c>
      <c r="E49" s="3" t="s">
        <v>68</v>
      </c>
      <c r="F49" s="3" t="s">
        <v>69</v>
      </c>
      <c r="G49" s="53"/>
      <c r="H49" s="53"/>
      <c r="I49" s="53"/>
      <c r="J49" s="54"/>
      <c r="K49" s="53"/>
      <c r="L49" s="53"/>
      <c r="M49" s="53"/>
      <c r="N49" s="53"/>
      <c r="O49" s="53"/>
      <c r="P49" s="54"/>
      <c r="Q49" s="53" t="str">
        <f>IF('Review Register'!M4="","",'Review Register'!M4)</f>
        <v/>
      </c>
      <c r="R49" s="53" t="str">
        <f>IF('Review Register'!D4="","",'Review Register'!D4)</f>
        <v/>
      </c>
    </row>
    <row r="50" spans="1:18" ht="60">
      <c r="A50" s="53" t="s">
        <v>24</v>
      </c>
      <c r="B50" s="3" t="s">
        <v>70</v>
      </c>
      <c r="C50" s="9" t="s">
        <v>71</v>
      </c>
      <c r="D50" s="3" t="s">
        <v>532</v>
      </c>
      <c r="E50" s="3" t="s">
        <v>72</v>
      </c>
      <c r="F50" s="3" t="s">
        <v>73</v>
      </c>
      <c r="G50" s="53"/>
      <c r="H50" s="53"/>
      <c r="I50" s="53"/>
      <c r="J50" s="54"/>
      <c r="K50" s="53"/>
      <c r="L50" s="53"/>
      <c r="M50" s="53"/>
      <c r="N50" s="53"/>
      <c r="O50" s="53"/>
      <c r="P50" s="54"/>
      <c r="Q50" s="53" t="str">
        <f>IF('Review Register'!M4="","",'Review Register'!M4)</f>
        <v/>
      </c>
      <c r="R50" s="53" t="str">
        <f>IF('Review Register'!D4="","",'Review Register'!D4)</f>
        <v/>
      </c>
    </row>
    <row r="51" spans="1:18" ht="60" hidden="1">
      <c r="A51" s="53" t="s">
        <v>24</v>
      </c>
      <c r="B51" s="3" t="s">
        <v>70</v>
      </c>
      <c r="C51" s="9" t="s">
        <v>74</v>
      </c>
      <c r="D51" s="3" t="s">
        <v>75</v>
      </c>
      <c r="E51" s="3" t="s">
        <v>76</v>
      </c>
      <c r="F51" s="3" t="s">
        <v>77</v>
      </c>
      <c r="G51" s="53"/>
      <c r="H51" s="53"/>
      <c r="I51" s="53"/>
      <c r="J51" s="54"/>
      <c r="K51" s="53"/>
      <c r="L51" s="53"/>
      <c r="M51" s="53"/>
      <c r="N51" s="53"/>
      <c r="O51" s="53"/>
      <c r="P51" s="54"/>
      <c r="Q51" s="53" t="str">
        <f>IF('Review Register'!M4="","",'Review Register'!M4)</f>
        <v/>
      </c>
      <c r="R51" s="53" t="str">
        <f>IF('Review Register'!D4="","",'Review Register'!D4)</f>
        <v/>
      </c>
    </row>
    <row r="52" spans="1:18" ht="60" hidden="1">
      <c r="A52" s="53" t="s">
        <v>24</v>
      </c>
      <c r="B52" s="3" t="s">
        <v>70</v>
      </c>
      <c r="C52" s="9" t="s">
        <v>78</v>
      </c>
      <c r="D52" s="3" t="s">
        <v>79</v>
      </c>
      <c r="E52" s="3" t="s">
        <v>80</v>
      </c>
      <c r="F52" s="3" t="s">
        <v>81</v>
      </c>
      <c r="G52" s="53"/>
      <c r="H52" s="53"/>
      <c r="I52" s="53"/>
      <c r="J52" s="54"/>
      <c r="K52" s="53"/>
      <c r="L52" s="53"/>
      <c r="M52" s="53"/>
      <c r="N52" s="53"/>
      <c r="O52" s="53"/>
      <c r="P52" s="54"/>
      <c r="Q52" s="53" t="str">
        <f>IF('Review Register'!M4="","",'Review Register'!M4)</f>
        <v/>
      </c>
      <c r="R52" s="53" t="str">
        <f>IF('Review Register'!D4="","",'Review Register'!D4)</f>
        <v/>
      </c>
    </row>
    <row r="53" spans="1:18" ht="45">
      <c r="A53" s="53" t="s">
        <v>24</v>
      </c>
      <c r="B53" s="3" t="s">
        <v>82</v>
      </c>
      <c r="C53" s="9" t="s">
        <v>83</v>
      </c>
      <c r="D53" s="3" t="s">
        <v>84</v>
      </c>
      <c r="E53" s="3" t="s">
        <v>85</v>
      </c>
      <c r="F53" s="3" t="s">
        <v>86</v>
      </c>
      <c r="G53" s="53"/>
      <c r="H53" s="53"/>
      <c r="I53" s="53"/>
      <c r="J53" s="54"/>
      <c r="K53" s="53"/>
      <c r="L53" s="53"/>
      <c r="M53" s="53"/>
      <c r="N53" s="53"/>
      <c r="O53" s="53"/>
      <c r="P53" s="54"/>
      <c r="Q53" s="53" t="str">
        <f>IF('Review Register'!M4="","",'Review Register'!M4)</f>
        <v/>
      </c>
      <c r="R53" s="53" t="str">
        <f>IF('Review Register'!D4="","",'Review Register'!D4)</f>
        <v/>
      </c>
    </row>
    <row r="54" spans="1:18" ht="60" hidden="1">
      <c r="A54" s="53" t="s">
        <v>24</v>
      </c>
      <c r="B54" s="3" t="s">
        <v>82</v>
      </c>
      <c r="C54" s="9" t="s">
        <v>87</v>
      </c>
      <c r="D54" s="3" t="s">
        <v>88</v>
      </c>
      <c r="E54" s="3" t="s">
        <v>89</v>
      </c>
      <c r="F54" s="3" t="s">
        <v>90</v>
      </c>
      <c r="G54" s="53"/>
      <c r="H54" s="53"/>
      <c r="I54" s="53"/>
      <c r="J54" s="54"/>
      <c r="K54" s="53"/>
      <c r="L54" s="53"/>
      <c r="M54" s="53"/>
      <c r="N54" s="53"/>
      <c r="O54" s="53"/>
      <c r="P54" s="54"/>
      <c r="Q54" s="53" t="str">
        <f>IF('Review Register'!M4="","",'Review Register'!M4)</f>
        <v/>
      </c>
      <c r="R54" s="53" t="str">
        <f>IF('Review Register'!D4="","",'Review Register'!D4)</f>
        <v/>
      </c>
    </row>
    <row r="55" spans="1:18" ht="60" hidden="1">
      <c r="A55" s="53" t="s">
        <v>24</v>
      </c>
      <c r="B55" s="3" t="s">
        <v>82</v>
      </c>
      <c r="C55" s="9" t="s">
        <v>91</v>
      </c>
      <c r="D55" s="3" t="s">
        <v>92</v>
      </c>
      <c r="E55" s="3" t="s">
        <v>93</v>
      </c>
      <c r="F55" s="3" t="s">
        <v>94</v>
      </c>
      <c r="G55" s="53"/>
      <c r="H55" s="53"/>
      <c r="I55" s="53"/>
      <c r="J55" s="54"/>
      <c r="K55" s="53"/>
      <c r="L55" s="53"/>
      <c r="M55" s="53"/>
      <c r="N55" s="53"/>
      <c r="O55" s="53"/>
      <c r="P55" s="54"/>
      <c r="Q55" s="53" t="str">
        <f>IF('Review Register'!M4="","",'Review Register'!M4)</f>
        <v/>
      </c>
      <c r="R55" s="53" t="str">
        <f>IF('Review Register'!D4="","",'Review Register'!D4)</f>
        <v/>
      </c>
    </row>
    <row r="56" spans="1:18" ht="60">
      <c r="A56" s="53" t="s">
        <v>24</v>
      </c>
      <c r="B56" s="3" t="s">
        <v>95</v>
      </c>
      <c r="C56" s="9" t="s">
        <v>96</v>
      </c>
      <c r="D56" s="3" t="s">
        <v>97</v>
      </c>
      <c r="E56" s="3" t="s">
        <v>98</v>
      </c>
      <c r="F56" s="3" t="s">
        <v>99</v>
      </c>
      <c r="G56" s="53"/>
      <c r="H56" s="53"/>
      <c r="I56" s="53"/>
      <c r="J56" s="54"/>
      <c r="K56" s="53"/>
      <c r="L56" s="53"/>
      <c r="M56" s="53"/>
      <c r="N56" s="53"/>
      <c r="O56" s="53"/>
      <c r="P56" s="54"/>
      <c r="Q56" s="53" t="str">
        <f>IF('Review Register'!M4="","",'Review Register'!M4)</f>
        <v/>
      </c>
      <c r="R56" s="53" t="str">
        <f>IF('Review Register'!D4="","",'Review Register'!D4)</f>
        <v/>
      </c>
    </row>
    <row r="57" spans="1:18" ht="60" hidden="1">
      <c r="A57" s="53" t="s">
        <v>24</v>
      </c>
      <c r="B57" s="3" t="s">
        <v>95</v>
      </c>
      <c r="C57" s="9" t="s">
        <v>100</v>
      </c>
      <c r="D57" s="3" t="s">
        <v>101</v>
      </c>
      <c r="E57" s="3" t="s">
        <v>102</v>
      </c>
      <c r="F57" s="3" t="s">
        <v>103</v>
      </c>
      <c r="G57" s="53"/>
      <c r="H57" s="53"/>
      <c r="I57" s="53"/>
      <c r="J57" s="54"/>
      <c r="K57" s="53"/>
      <c r="L57" s="53"/>
      <c r="M57" s="53"/>
      <c r="N57" s="53"/>
      <c r="O57" s="53"/>
      <c r="P57" s="54"/>
      <c r="Q57" s="53" t="str">
        <f>IF('Review Register'!M4="","",'Review Register'!M4)</f>
        <v/>
      </c>
      <c r="R57" s="53" t="str">
        <f>IF('Review Register'!D4="","",'Review Register'!D4)</f>
        <v/>
      </c>
    </row>
    <row r="58" spans="1:18" ht="45" hidden="1">
      <c r="A58" s="53" t="s">
        <v>24</v>
      </c>
      <c r="B58" s="3" t="s">
        <v>95</v>
      </c>
      <c r="C58" s="9" t="s">
        <v>104</v>
      </c>
      <c r="D58" s="3" t="s">
        <v>105</v>
      </c>
      <c r="E58" s="3" t="s">
        <v>106</v>
      </c>
      <c r="F58" s="3" t="s">
        <v>107</v>
      </c>
      <c r="G58" s="53"/>
      <c r="H58" s="53"/>
      <c r="I58" s="53"/>
      <c r="J58" s="54"/>
      <c r="K58" s="53"/>
      <c r="L58" s="53"/>
      <c r="M58" s="53"/>
      <c r="N58" s="53"/>
      <c r="O58" s="53"/>
      <c r="P58" s="54"/>
      <c r="Q58" s="53" t="str">
        <f>IF('Review Register'!M4="","",'Review Register'!M4)</f>
        <v/>
      </c>
      <c r="R58" s="53" t="str">
        <f>IF('Review Register'!D4="","",'Review Register'!D4)</f>
        <v/>
      </c>
    </row>
    <row r="59" spans="1:18" ht="45">
      <c r="A59" s="53" t="s">
        <v>24</v>
      </c>
      <c r="B59" s="3" t="s">
        <v>108</v>
      </c>
      <c r="C59" s="9" t="s">
        <v>109</v>
      </c>
      <c r="D59" s="3" t="s">
        <v>110</v>
      </c>
      <c r="E59" s="3" t="s">
        <v>111</v>
      </c>
      <c r="F59" s="3" t="s">
        <v>112</v>
      </c>
      <c r="G59" s="53"/>
      <c r="H59" s="53"/>
      <c r="I59" s="53"/>
      <c r="J59" s="54"/>
      <c r="K59" s="53"/>
      <c r="L59" s="53"/>
      <c r="M59" s="53"/>
      <c r="N59" s="53"/>
      <c r="O59" s="53"/>
      <c r="P59" s="54"/>
      <c r="Q59" s="53" t="str">
        <f>IF('Review Register'!M4="","",'Review Register'!M4)</f>
        <v/>
      </c>
      <c r="R59" s="53" t="str">
        <f>IF('Review Register'!D4="","",'Review Register'!D4)</f>
        <v/>
      </c>
    </row>
    <row r="60" spans="1:18" ht="60" hidden="1">
      <c r="A60" s="53" t="s">
        <v>24</v>
      </c>
      <c r="B60" s="3" t="s">
        <v>108</v>
      </c>
      <c r="C60" s="9" t="s">
        <v>113</v>
      </c>
      <c r="D60" s="3" t="s">
        <v>114</v>
      </c>
      <c r="E60" s="3" t="s">
        <v>115</v>
      </c>
      <c r="F60" s="3" t="s">
        <v>116</v>
      </c>
      <c r="G60" s="53"/>
      <c r="H60" s="53"/>
      <c r="I60" s="53"/>
      <c r="J60" s="54"/>
      <c r="K60" s="53"/>
      <c r="L60" s="53"/>
      <c r="M60" s="53"/>
      <c r="N60" s="53"/>
      <c r="O60" s="53"/>
      <c r="P60" s="54"/>
      <c r="Q60" s="53" t="str">
        <f>IF('Review Register'!M4="","",'Review Register'!M4)</f>
        <v/>
      </c>
      <c r="R60" s="53" t="str">
        <f>IF('Review Register'!D4="","",'Review Register'!D4)</f>
        <v/>
      </c>
    </row>
    <row r="61" spans="1:18" ht="45" hidden="1">
      <c r="A61" s="53" t="s">
        <v>24</v>
      </c>
      <c r="B61" s="3" t="s">
        <v>108</v>
      </c>
      <c r="C61" s="9" t="s">
        <v>117</v>
      </c>
      <c r="D61" s="3" t="s">
        <v>118</v>
      </c>
      <c r="E61" s="3" t="s">
        <v>119</v>
      </c>
      <c r="F61" s="3" t="s">
        <v>120</v>
      </c>
      <c r="G61" s="53"/>
      <c r="H61" s="53"/>
      <c r="I61" s="53"/>
      <c r="J61" s="54"/>
      <c r="K61" s="53"/>
      <c r="L61" s="53"/>
      <c r="M61" s="53"/>
      <c r="N61" s="53"/>
      <c r="O61" s="53"/>
      <c r="P61" s="54"/>
      <c r="Q61" s="53" t="str">
        <f>IF('Review Register'!M4="","",'Review Register'!M4)</f>
        <v/>
      </c>
      <c r="R61" s="53" t="str">
        <f>IF('Review Register'!D4="","",'Review Register'!D4)</f>
        <v/>
      </c>
    </row>
    <row r="62" spans="1:18" ht="45">
      <c r="A62" s="53" t="s">
        <v>24</v>
      </c>
      <c r="B62" s="3" t="s">
        <v>121</v>
      </c>
      <c r="C62" s="9" t="s">
        <v>122</v>
      </c>
      <c r="D62" s="3" t="s">
        <v>123</v>
      </c>
      <c r="E62" s="3" t="s">
        <v>124</v>
      </c>
      <c r="F62" s="3" t="s">
        <v>125</v>
      </c>
      <c r="G62" s="53"/>
      <c r="H62" s="53"/>
      <c r="I62" s="53"/>
      <c r="J62" s="54"/>
      <c r="K62" s="53"/>
      <c r="L62" s="53"/>
      <c r="M62" s="53"/>
      <c r="N62" s="53"/>
      <c r="O62" s="53"/>
      <c r="P62" s="54"/>
      <c r="Q62" s="53" t="str">
        <f>IF('Review Register'!M4="","",'Review Register'!M4)</f>
        <v/>
      </c>
      <c r="R62" s="53" t="str">
        <f>IF('Review Register'!D4="","",'Review Register'!D4)</f>
        <v/>
      </c>
    </row>
    <row r="63" spans="1:18" ht="60" hidden="1">
      <c r="A63" s="53" t="s">
        <v>24</v>
      </c>
      <c r="B63" s="3" t="s">
        <v>121</v>
      </c>
      <c r="C63" s="9" t="s">
        <v>126</v>
      </c>
      <c r="D63" s="3" t="s">
        <v>127</v>
      </c>
      <c r="E63" s="3" t="s">
        <v>128</v>
      </c>
      <c r="F63" s="3" t="s">
        <v>129</v>
      </c>
      <c r="G63" s="53"/>
      <c r="H63" s="53"/>
      <c r="I63" s="53"/>
      <c r="J63" s="54"/>
      <c r="K63" s="53"/>
      <c r="L63" s="53"/>
      <c r="M63" s="53"/>
      <c r="N63" s="53"/>
      <c r="O63" s="53"/>
      <c r="P63" s="54"/>
      <c r="Q63" s="53" t="str">
        <f>IF('Review Register'!M4="","",'Review Register'!M4)</f>
        <v/>
      </c>
      <c r="R63" s="53" t="str">
        <f>IF('Review Register'!D4="","",'Review Register'!D4)</f>
        <v/>
      </c>
    </row>
    <row r="64" spans="1:18" ht="75" hidden="1">
      <c r="A64" s="53" t="s">
        <v>24</v>
      </c>
      <c r="B64" s="3" t="s">
        <v>121</v>
      </c>
      <c r="C64" s="9" t="s">
        <v>130</v>
      </c>
      <c r="D64" s="3" t="s">
        <v>131</v>
      </c>
      <c r="E64" s="3" t="s">
        <v>132</v>
      </c>
      <c r="F64" s="3" t="s">
        <v>133</v>
      </c>
      <c r="G64" s="53"/>
      <c r="H64" s="53"/>
      <c r="I64" s="53"/>
      <c r="J64" s="54"/>
      <c r="K64" s="53"/>
      <c r="L64" s="53"/>
      <c r="M64" s="53"/>
      <c r="N64" s="53"/>
      <c r="O64" s="53"/>
      <c r="P64" s="54"/>
      <c r="Q64" s="53" t="str">
        <f>IF('Review Register'!M4="","",'Review Register'!M4)</f>
        <v/>
      </c>
      <c r="R64" s="53" t="str">
        <f>IF('Review Register'!D4="","",'Review Register'!D4)</f>
        <v/>
      </c>
    </row>
    <row r="65" spans="1:18" ht="60">
      <c r="A65" s="53" t="s">
        <v>26</v>
      </c>
      <c r="B65" s="3" t="s">
        <v>44</v>
      </c>
      <c r="C65" s="9" t="s">
        <v>45</v>
      </c>
      <c r="D65" s="3" t="s">
        <v>46</v>
      </c>
      <c r="E65" s="3" t="s">
        <v>47</v>
      </c>
      <c r="F65" s="3" t="s">
        <v>48</v>
      </c>
      <c r="G65" s="53"/>
      <c r="H65" s="53"/>
      <c r="I65" s="53"/>
      <c r="J65" s="54"/>
      <c r="K65" s="53"/>
      <c r="L65" s="53"/>
      <c r="M65" s="53"/>
      <c r="N65" s="53"/>
      <c r="O65" s="53"/>
      <c r="P65" s="54"/>
      <c r="Q65" s="53" t="str">
        <f>IF('Review Register'!M5="","",'Review Register'!M5)</f>
        <v/>
      </c>
      <c r="R65" s="53" t="str">
        <f>IF('Review Register'!D5="","",'Review Register'!D5)</f>
        <v/>
      </c>
    </row>
    <row r="66" spans="1:18" ht="60" hidden="1">
      <c r="A66" s="53" t="s">
        <v>26</v>
      </c>
      <c r="B66" s="3" t="s">
        <v>44</v>
      </c>
      <c r="C66" s="9" t="s">
        <v>49</v>
      </c>
      <c r="D66" s="3" t="s">
        <v>50</v>
      </c>
      <c r="E66" s="3" t="s">
        <v>51</v>
      </c>
      <c r="F66" s="3" t="s">
        <v>52</v>
      </c>
      <c r="G66" s="53"/>
      <c r="H66" s="53"/>
      <c r="I66" s="53"/>
      <c r="J66" s="54"/>
      <c r="K66" s="53"/>
      <c r="L66" s="53"/>
      <c r="M66" s="53"/>
      <c r="N66" s="53"/>
      <c r="O66" s="53"/>
      <c r="P66" s="54"/>
      <c r="Q66" s="53" t="str">
        <f>IF('Review Register'!M5="","",'Review Register'!M5)</f>
        <v/>
      </c>
      <c r="R66" s="53" t="str">
        <f>IF('Review Register'!D5="","",'Review Register'!D5)</f>
        <v/>
      </c>
    </row>
    <row r="67" spans="1:18" ht="45" hidden="1">
      <c r="A67" s="53" t="s">
        <v>26</v>
      </c>
      <c r="B67" s="3" t="s">
        <v>44</v>
      </c>
      <c r="C67" s="9" t="s">
        <v>53</v>
      </c>
      <c r="D67" s="3" t="s">
        <v>54</v>
      </c>
      <c r="E67" s="3" t="s">
        <v>55</v>
      </c>
      <c r="F67" s="3" t="s">
        <v>56</v>
      </c>
      <c r="G67" s="53"/>
      <c r="H67" s="53"/>
      <c r="I67" s="53"/>
      <c r="J67" s="54"/>
      <c r="K67" s="53"/>
      <c r="L67" s="53"/>
      <c r="M67" s="53"/>
      <c r="N67" s="53"/>
      <c r="O67" s="53"/>
      <c r="P67" s="54"/>
      <c r="Q67" s="53" t="str">
        <f>IF('Review Register'!M5="","",'Review Register'!M5)</f>
        <v/>
      </c>
      <c r="R67" s="53" t="str">
        <f>IF('Review Register'!D5="","",'Review Register'!D5)</f>
        <v/>
      </c>
    </row>
    <row r="68" spans="1:18" ht="60">
      <c r="A68" s="53" t="s">
        <v>26</v>
      </c>
      <c r="B68" s="3" t="s">
        <v>57</v>
      </c>
      <c r="C68" s="9" t="s">
        <v>58</v>
      </c>
      <c r="D68" s="3" t="s">
        <v>59</v>
      </c>
      <c r="E68" s="3" t="s">
        <v>60</v>
      </c>
      <c r="F68" s="3" t="s">
        <v>61</v>
      </c>
      <c r="G68" s="53"/>
      <c r="H68" s="53"/>
      <c r="I68" s="53"/>
      <c r="J68" s="54"/>
      <c r="K68" s="53"/>
      <c r="L68" s="53"/>
      <c r="M68" s="53"/>
      <c r="N68" s="53"/>
      <c r="O68" s="53"/>
      <c r="P68" s="54"/>
      <c r="Q68" s="53" t="str">
        <f>IF('Review Register'!M5="","",'Review Register'!M5)</f>
        <v/>
      </c>
      <c r="R68" s="53" t="str">
        <f>IF('Review Register'!D5="","",'Review Register'!D5)</f>
        <v/>
      </c>
    </row>
    <row r="69" spans="1:18" ht="60" hidden="1">
      <c r="A69" s="53" t="s">
        <v>26</v>
      </c>
      <c r="B69" s="3" t="s">
        <v>57</v>
      </c>
      <c r="C69" s="9" t="s">
        <v>62</v>
      </c>
      <c r="D69" s="3" t="s">
        <v>63</v>
      </c>
      <c r="E69" s="3" t="s">
        <v>64</v>
      </c>
      <c r="F69" s="3" t="s">
        <v>65</v>
      </c>
      <c r="G69" s="53"/>
      <c r="H69" s="53"/>
      <c r="I69" s="53"/>
      <c r="J69" s="54"/>
      <c r="K69" s="53"/>
      <c r="L69" s="53"/>
      <c r="M69" s="53"/>
      <c r="N69" s="53"/>
      <c r="O69" s="53"/>
      <c r="P69" s="54"/>
      <c r="Q69" s="53" t="str">
        <f>IF('Review Register'!M5="","",'Review Register'!M5)</f>
        <v/>
      </c>
      <c r="R69" s="53" t="str">
        <f>IF('Review Register'!D5="","",'Review Register'!D5)</f>
        <v/>
      </c>
    </row>
    <row r="70" spans="1:18" ht="75" hidden="1">
      <c r="A70" s="53" t="s">
        <v>26</v>
      </c>
      <c r="B70" s="3" t="s">
        <v>57</v>
      </c>
      <c r="C70" s="9" t="s">
        <v>66</v>
      </c>
      <c r="D70" s="3" t="s">
        <v>67</v>
      </c>
      <c r="E70" s="3" t="s">
        <v>68</v>
      </c>
      <c r="F70" s="3" t="s">
        <v>69</v>
      </c>
      <c r="G70" s="53"/>
      <c r="H70" s="53"/>
      <c r="I70" s="53"/>
      <c r="J70" s="54"/>
      <c r="K70" s="53"/>
      <c r="L70" s="53"/>
      <c r="M70" s="53"/>
      <c r="N70" s="53"/>
      <c r="O70" s="53"/>
      <c r="P70" s="54"/>
      <c r="Q70" s="53" t="str">
        <f>IF('Review Register'!M5="","",'Review Register'!M5)</f>
        <v/>
      </c>
      <c r="R70" s="53" t="str">
        <f>IF('Review Register'!D5="","",'Review Register'!D5)</f>
        <v/>
      </c>
    </row>
    <row r="71" spans="1:18" ht="60">
      <c r="A71" s="53" t="s">
        <v>26</v>
      </c>
      <c r="B71" s="3" t="s">
        <v>70</v>
      </c>
      <c r="C71" s="9" t="s">
        <v>71</v>
      </c>
      <c r="D71" s="3" t="s">
        <v>532</v>
      </c>
      <c r="E71" s="3" t="s">
        <v>72</v>
      </c>
      <c r="F71" s="3" t="s">
        <v>73</v>
      </c>
      <c r="G71" s="53"/>
      <c r="H71" s="53"/>
      <c r="I71" s="53"/>
      <c r="J71" s="54"/>
      <c r="K71" s="53"/>
      <c r="L71" s="53"/>
      <c r="M71" s="53"/>
      <c r="N71" s="53"/>
      <c r="O71" s="53"/>
      <c r="P71" s="54"/>
      <c r="Q71" s="53" t="str">
        <f>IF('Review Register'!M5="","",'Review Register'!M5)</f>
        <v/>
      </c>
      <c r="R71" s="53" t="str">
        <f>IF('Review Register'!D5="","",'Review Register'!D5)</f>
        <v/>
      </c>
    </row>
    <row r="72" spans="1:18" ht="60" hidden="1">
      <c r="A72" s="53" t="s">
        <v>26</v>
      </c>
      <c r="B72" s="3" t="s">
        <v>70</v>
      </c>
      <c r="C72" s="9" t="s">
        <v>74</v>
      </c>
      <c r="D72" s="3" t="s">
        <v>75</v>
      </c>
      <c r="E72" s="3" t="s">
        <v>76</v>
      </c>
      <c r="F72" s="3" t="s">
        <v>77</v>
      </c>
      <c r="G72" s="53"/>
      <c r="H72" s="53"/>
      <c r="I72" s="53"/>
      <c r="J72" s="54"/>
      <c r="K72" s="53"/>
      <c r="L72" s="53"/>
      <c r="M72" s="53"/>
      <c r="N72" s="53"/>
      <c r="O72" s="53"/>
      <c r="P72" s="54"/>
      <c r="Q72" s="53" t="str">
        <f>IF('Review Register'!M5="","",'Review Register'!M5)</f>
        <v/>
      </c>
      <c r="R72" s="53" t="str">
        <f>IF('Review Register'!D5="","",'Review Register'!D5)</f>
        <v/>
      </c>
    </row>
    <row r="73" spans="1:18" ht="60" hidden="1">
      <c r="A73" s="53" t="s">
        <v>26</v>
      </c>
      <c r="B73" s="3" t="s">
        <v>70</v>
      </c>
      <c r="C73" s="9" t="s">
        <v>78</v>
      </c>
      <c r="D73" s="3" t="s">
        <v>79</v>
      </c>
      <c r="E73" s="3" t="s">
        <v>80</v>
      </c>
      <c r="F73" s="3" t="s">
        <v>81</v>
      </c>
      <c r="G73" s="53"/>
      <c r="H73" s="53"/>
      <c r="I73" s="53"/>
      <c r="J73" s="54"/>
      <c r="K73" s="53"/>
      <c r="L73" s="53"/>
      <c r="M73" s="53"/>
      <c r="N73" s="53"/>
      <c r="O73" s="53"/>
      <c r="P73" s="54"/>
      <c r="Q73" s="53" t="str">
        <f>IF('Review Register'!M5="","",'Review Register'!M5)</f>
        <v/>
      </c>
      <c r="R73" s="53" t="str">
        <f>IF('Review Register'!D5="","",'Review Register'!D5)</f>
        <v/>
      </c>
    </row>
    <row r="74" spans="1:18" ht="45">
      <c r="A74" s="53" t="s">
        <v>26</v>
      </c>
      <c r="B74" s="3" t="s">
        <v>82</v>
      </c>
      <c r="C74" s="9" t="s">
        <v>83</v>
      </c>
      <c r="D74" s="3" t="s">
        <v>84</v>
      </c>
      <c r="E74" s="3" t="s">
        <v>85</v>
      </c>
      <c r="F74" s="3" t="s">
        <v>86</v>
      </c>
      <c r="G74" s="53"/>
      <c r="H74" s="53"/>
      <c r="I74" s="53"/>
      <c r="J74" s="54"/>
      <c r="K74" s="53"/>
      <c r="L74" s="53"/>
      <c r="M74" s="53"/>
      <c r="N74" s="53"/>
      <c r="O74" s="53"/>
      <c r="P74" s="54"/>
      <c r="Q74" s="53" t="str">
        <f>IF('Review Register'!M5="","",'Review Register'!M5)</f>
        <v/>
      </c>
      <c r="R74" s="53" t="str">
        <f>IF('Review Register'!D5="","",'Review Register'!D5)</f>
        <v/>
      </c>
    </row>
    <row r="75" spans="1:18" ht="60" hidden="1">
      <c r="A75" s="53" t="s">
        <v>26</v>
      </c>
      <c r="B75" s="3" t="s">
        <v>82</v>
      </c>
      <c r="C75" s="9" t="s">
        <v>87</v>
      </c>
      <c r="D75" s="3" t="s">
        <v>88</v>
      </c>
      <c r="E75" s="3" t="s">
        <v>89</v>
      </c>
      <c r="F75" s="3" t="s">
        <v>90</v>
      </c>
      <c r="G75" s="53"/>
      <c r="H75" s="53"/>
      <c r="I75" s="53"/>
      <c r="J75" s="54"/>
      <c r="K75" s="53"/>
      <c r="L75" s="53"/>
      <c r="M75" s="53"/>
      <c r="N75" s="53"/>
      <c r="O75" s="53"/>
      <c r="P75" s="54"/>
      <c r="Q75" s="53" t="str">
        <f>IF('Review Register'!M5="","",'Review Register'!M5)</f>
        <v/>
      </c>
      <c r="R75" s="53" t="str">
        <f>IF('Review Register'!D5="","",'Review Register'!D5)</f>
        <v/>
      </c>
    </row>
    <row r="76" spans="1:18" ht="60" hidden="1">
      <c r="A76" s="53" t="s">
        <v>26</v>
      </c>
      <c r="B76" s="3" t="s">
        <v>82</v>
      </c>
      <c r="C76" s="9" t="s">
        <v>91</v>
      </c>
      <c r="D76" s="3" t="s">
        <v>92</v>
      </c>
      <c r="E76" s="3" t="s">
        <v>93</v>
      </c>
      <c r="F76" s="3" t="s">
        <v>94</v>
      </c>
      <c r="G76" s="53"/>
      <c r="H76" s="53"/>
      <c r="I76" s="53"/>
      <c r="J76" s="54"/>
      <c r="K76" s="53"/>
      <c r="L76" s="53"/>
      <c r="M76" s="53"/>
      <c r="N76" s="53"/>
      <c r="O76" s="53"/>
      <c r="P76" s="54"/>
      <c r="Q76" s="53" t="str">
        <f>IF('Review Register'!M5="","",'Review Register'!M5)</f>
        <v/>
      </c>
      <c r="R76" s="53" t="str">
        <f>IF('Review Register'!D5="","",'Review Register'!D5)</f>
        <v/>
      </c>
    </row>
    <row r="77" spans="1:18" ht="60">
      <c r="A77" s="53" t="s">
        <v>26</v>
      </c>
      <c r="B77" s="3" t="s">
        <v>95</v>
      </c>
      <c r="C77" s="9" t="s">
        <v>96</v>
      </c>
      <c r="D77" s="3" t="s">
        <v>97</v>
      </c>
      <c r="E77" s="3" t="s">
        <v>98</v>
      </c>
      <c r="F77" s="3" t="s">
        <v>99</v>
      </c>
      <c r="G77" s="53"/>
      <c r="H77" s="53"/>
      <c r="I77" s="53"/>
      <c r="J77" s="54"/>
      <c r="K77" s="53"/>
      <c r="L77" s="53"/>
      <c r="M77" s="53"/>
      <c r="N77" s="53"/>
      <c r="O77" s="53"/>
      <c r="P77" s="54"/>
      <c r="Q77" s="53" t="str">
        <f>IF('Review Register'!M5="","",'Review Register'!M5)</f>
        <v/>
      </c>
      <c r="R77" s="53" t="str">
        <f>IF('Review Register'!D5="","",'Review Register'!D5)</f>
        <v/>
      </c>
    </row>
    <row r="78" spans="1:18" ht="60" hidden="1">
      <c r="A78" s="53" t="s">
        <v>26</v>
      </c>
      <c r="B78" s="3" t="s">
        <v>95</v>
      </c>
      <c r="C78" s="9" t="s">
        <v>100</v>
      </c>
      <c r="D78" s="3" t="s">
        <v>101</v>
      </c>
      <c r="E78" s="3" t="s">
        <v>102</v>
      </c>
      <c r="F78" s="3" t="s">
        <v>103</v>
      </c>
      <c r="G78" s="53"/>
      <c r="H78" s="53"/>
      <c r="I78" s="53"/>
      <c r="J78" s="54"/>
      <c r="K78" s="53"/>
      <c r="L78" s="53"/>
      <c r="M78" s="53"/>
      <c r="N78" s="53"/>
      <c r="O78" s="53"/>
      <c r="P78" s="54"/>
      <c r="Q78" s="53" t="str">
        <f>IF('Review Register'!M5="","",'Review Register'!M5)</f>
        <v/>
      </c>
      <c r="R78" s="53" t="str">
        <f>IF('Review Register'!D5="","",'Review Register'!D5)</f>
        <v/>
      </c>
    </row>
    <row r="79" spans="1:18" ht="45" hidden="1">
      <c r="A79" s="53" t="s">
        <v>26</v>
      </c>
      <c r="B79" s="3" t="s">
        <v>95</v>
      </c>
      <c r="C79" s="9" t="s">
        <v>104</v>
      </c>
      <c r="D79" s="3" t="s">
        <v>105</v>
      </c>
      <c r="E79" s="3" t="s">
        <v>106</v>
      </c>
      <c r="F79" s="3" t="s">
        <v>107</v>
      </c>
      <c r="G79" s="53"/>
      <c r="H79" s="53"/>
      <c r="I79" s="53"/>
      <c r="J79" s="54"/>
      <c r="K79" s="53"/>
      <c r="L79" s="53"/>
      <c r="M79" s="53"/>
      <c r="N79" s="53"/>
      <c r="O79" s="53"/>
      <c r="P79" s="54"/>
      <c r="Q79" s="53" t="str">
        <f>IF('Review Register'!M5="","",'Review Register'!M5)</f>
        <v/>
      </c>
      <c r="R79" s="53" t="str">
        <f>IF('Review Register'!D5="","",'Review Register'!D5)</f>
        <v/>
      </c>
    </row>
    <row r="80" spans="1:18" ht="45">
      <c r="A80" s="53" t="s">
        <v>26</v>
      </c>
      <c r="B80" s="3" t="s">
        <v>108</v>
      </c>
      <c r="C80" s="9" t="s">
        <v>109</v>
      </c>
      <c r="D80" s="3" t="s">
        <v>110</v>
      </c>
      <c r="E80" s="3" t="s">
        <v>111</v>
      </c>
      <c r="F80" s="3" t="s">
        <v>112</v>
      </c>
      <c r="G80" s="53"/>
      <c r="H80" s="53"/>
      <c r="I80" s="53"/>
      <c r="J80" s="54"/>
      <c r="K80" s="53"/>
      <c r="L80" s="53"/>
      <c r="M80" s="53"/>
      <c r="N80" s="53"/>
      <c r="O80" s="53"/>
      <c r="P80" s="54"/>
      <c r="Q80" s="53" t="str">
        <f>IF('Review Register'!M5="","",'Review Register'!M5)</f>
        <v/>
      </c>
      <c r="R80" s="53" t="str">
        <f>IF('Review Register'!D5="","",'Review Register'!D5)</f>
        <v/>
      </c>
    </row>
    <row r="81" spans="1:18" ht="60" hidden="1">
      <c r="A81" s="53" t="s">
        <v>26</v>
      </c>
      <c r="B81" s="3" t="s">
        <v>108</v>
      </c>
      <c r="C81" s="9" t="s">
        <v>113</v>
      </c>
      <c r="D81" s="3" t="s">
        <v>114</v>
      </c>
      <c r="E81" s="3" t="s">
        <v>115</v>
      </c>
      <c r="F81" s="3" t="s">
        <v>116</v>
      </c>
      <c r="G81" s="53"/>
      <c r="H81" s="53"/>
      <c r="I81" s="53"/>
      <c r="J81" s="54"/>
      <c r="K81" s="53"/>
      <c r="L81" s="53"/>
      <c r="M81" s="53"/>
      <c r="N81" s="53"/>
      <c r="O81" s="53"/>
      <c r="P81" s="54"/>
      <c r="Q81" s="53" t="str">
        <f>IF('Review Register'!M5="","",'Review Register'!M5)</f>
        <v/>
      </c>
      <c r="R81" s="53" t="str">
        <f>IF('Review Register'!D5="","",'Review Register'!D5)</f>
        <v/>
      </c>
    </row>
    <row r="82" spans="1:18" ht="45" hidden="1">
      <c r="A82" s="53" t="s">
        <v>26</v>
      </c>
      <c r="B82" s="3" t="s">
        <v>108</v>
      </c>
      <c r="C82" s="9" t="s">
        <v>117</v>
      </c>
      <c r="D82" s="3" t="s">
        <v>118</v>
      </c>
      <c r="E82" s="3" t="s">
        <v>119</v>
      </c>
      <c r="F82" s="3" t="s">
        <v>120</v>
      </c>
      <c r="G82" s="53"/>
      <c r="H82" s="53"/>
      <c r="I82" s="53"/>
      <c r="J82" s="54"/>
      <c r="K82" s="53"/>
      <c r="L82" s="53"/>
      <c r="M82" s="53"/>
      <c r="N82" s="53"/>
      <c r="O82" s="53"/>
      <c r="P82" s="54"/>
      <c r="Q82" s="53" t="str">
        <f>IF('Review Register'!M5="","",'Review Register'!M5)</f>
        <v/>
      </c>
      <c r="R82" s="53" t="str">
        <f>IF('Review Register'!D5="","",'Review Register'!D5)</f>
        <v/>
      </c>
    </row>
    <row r="83" spans="1:18" ht="45">
      <c r="A83" s="53" t="s">
        <v>26</v>
      </c>
      <c r="B83" s="3" t="s">
        <v>121</v>
      </c>
      <c r="C83" s="9" t="s">
        <v>122</v>
      </c>
      <c r="D83" s="3" t="s">
        <v>123</v>
      </c>
      <c r="E83" s="3" t="s">
        <v>124</v>
      </c>
      <c r="F83" s="3" t="s">
        <v>125</v>
      </c>
      <c r="G83" s="53"/>
      <c r="H83" s="53"/>
      <c r="I83" s="53"/>
      <c r="J83" s="54"/>
      <c r="K83" s="53"/>
      <c r="L83" s="53"/>
      <c r="M83" s="53"/>
      <c r="N83" s="53"/>
      <c r="O83" s="53"/>
      <c r="P83" s="54"/>
      <c r="Q83" s="53" t="str">
        <f>IF('Review Register'!M5="","",'Review Register'!M5)</f>
        <v/>
      </c>
      <c r="R83" s="53" t="str">
        <f>IF('Review Register'!D5="","",'Review Register'!D5)</f>
        <v/>
      </c>
    </row>
    <row r="84" spans="1:18" ht="60" hidden="1">
      <c r="A84" s="53" t="s">
        <v>26</v>
      </c>
      <c r="B84" s="3" t="s">
        <v>121</v>
      </c>
      <c r="C84" s="9" t="s">
        <v>126</v>
      </c>
      <c r="D84" s="3" t="s">
        <v>127</v>
      </c>
      <c r="E84" s="3" t="s">
        <v>128</v>
      </c>
      <c r="F84" s="3" t="s">
        <v>129</v>
      </c>
      <c r="G84" s="53"/>
      <c r="H84" s="53"/>
      <c r="I84" s="53"/>
      <c r="J84" s="54"/>
      <c r="K84" s="53"/>
      <c r="L84" s="53"/>
      <c r="M84" s="53"/>
      <c r="N84" s="53"/>
      <c r="O84" s="53"/>
      <c r="P84" s="54"/>
      <c r="Q84" s="53" t="str">
        <f>IF('Review Register'!M5="","",'Review Register'!M5)</f>
        <v/>
      </c>
      <c r="R84" s="53" t="str">
        <f>IF('Review Register'!D5="","",'Review Register'!D5)</f>
        <v/>
      </c>
    </row>
    <row r="85" spans="1:18" ht="75" hidden="1">
      <c r="A85" s="53" t="s">
        <v>26</v>
      </c>
      <c r="B85" s="3" t="s">
        <v>121</v>
      </c>
      <c r="C85" s="9" t="s">
        <v>130</v>
      </c>
      <c r="D85" s="3" t="s">
        <v>131</v>
      </c>
      <c r="E85" s="3" t="s">
        <v>132</v>
      </c>
      <c r="F85" s="3" t="s">
        <v>133</v>
      </c>
      <c r="G85" s="53"/>
      <c r="H85" s="53"/>
      <c r="I85" s="53"/>
      <c r="J85" s="54"/>
      <c r="K85" s="53"/>
      <c r="L85" s="53"/>
      <c r="M85" s="53"/>
      <c r="N85" s="53"/>
      <c r="O85" s="53"/>
      <c r="P85" s="54"/>
      <c r="Q85" s="53" t="str">
        <f>IF('Review Register'!M5="","",'Review Register'!M5)</f>
        <v/>
      </c>
      <c r="R85" s="53" t="str">
        <f>IF('Review Register'!D5="","",'Review Register'!D5)</f>
        <v/>
      </c>
    </row>
    <row r="86" spans="1:18" ht="60">
      <c r="A86" s="53" t="s">
        <v>28</v>
      </c>
      <c r="B86" s="3" t="s">
        <v>44</v>
      </c>
      <c r="C86" s="9" t="s">
        <v>45</v>
      </c>
      <c r="D86" s="3" t="s">
        <v>46</v>
      </c>
      <c r="E86" s="3" t="s">
        <v>47</v>
      </c>
      <c r="F86" s="3" t="s">
        <v>48</v>
      </c>
      <c r="G86" s="53"/>
      <c r="H86" s="53"/>
      <c r="I86" s="53"/>
      <c r="J86" s="54"/>
      <c r="K86" s="53"/>
      <c r="L86" s="53"/>
      <c r="M86" s="53"/>
      <c r="N86" s="53"/>
      <c r="O86" s="53"/>
      <c r="P86" s="54"/>
      <c r="Q86" s="53" t="str">
        <f>IF('Review Register'!M6="","",'Review Register'!M6)</f>
        <v/>
      </c>
      <c r="R86" s="53" t="str">
        <f>IF('Review Register'!D6="","",'Review Register'!D6)</f>
        <v/>
      </c>
    </row>
    <row r="87" spans="1:18" ht="60" hidden="1">
      <c r="A87" s="53" t="s">
        <v>28</v>
      </c>
      <c r="B87" s="3" t="s">
        <v>44</v>
      </c>
      <c r="C87" s="9" t="s">
        <v>49</v>
      </c>
      <c r="D87" s="3" t="s">
        <v>50</v>
      </c>
      <c r="E87" s="3" t="s">
        <v>51</v>
      </c>
      <c r="F87" s="3" t="s">
        <v>52</v>
      </c>
      <c r="G87" s="53"/>
      <c r="H87" s="53"/>
      <c r="I87" s="53"/>
      <c r="J87" s="54"/>
      <c r="K87" s="53"/>
      <c r="L87" s="53"/>
      <c r="M87" s="53"/>
      <c r="N87" s="53"/>
      <c r="O87" s="53"/>
      <c r="P87" s="54"/>
      <c r="Q87" s="53" t="str">
        <f>IF('Review Register'!M6="","",'Review Register'!M6)</f>
        <v/>
      </c>
      <c r="R87" s="53" t="str">
        <f>IF('Review Register'!D6="","",'Review Register'!D6)</f>
        <v/>
      </c>
    </row>
    <row r="88" spans="1:18" ht="45" hidden="1">
      <c r="A88" s="53" t="s">
        <v>28</v>
      </c>
      <c r="B88" s="3" t="s">
        <v>44</v>
      </c>
      <c r="C88" s="9" t="s">
        <v>53</v>
      </c>
      <c r="D88" s="3" t="s">
        <v>54</v>
      </c>
      <c r="E88" s="3" t="s">
        <v>55</v>
      </c>
      <c r="F88" s="3" t="s">
        <v>56</v>
      </c>
      <c r="G88" s="53"/>
      <c r="H88" s="53"/>
      <c r="I88" s="53"/>
      <c r="J88" s="54"/>
      <c r="K88" s="53"/>
      <c r="L88" s="53"/>
      <c r="M88" s="53"/>
      <c r="N88" s="53"/>
      <c r="O88" s="53"/>
      <c r="P88" s="54"/>
      <c r="Q88" s="53" t="str">
        <f>IF('Review Register'!M6="","",'Review Register'!M6)</f>
        <v/>
      </c>
      <c r="R88" s="53" t="str">
        <f>IF('Review Register'!D6="","",'Review Register'!D6)</f>
        <v/>
      </c>
    </row>
    <row r="89" spans="1:18" ht="60">
      <c r="A89" s="53" t="s">
        <v>28</v>
      </c>
      <c r="B89" s="3" t="s">
        <v>57</v>
      </c>
      <c r="C89" s="9" t="s">
        <v>58</v>
      </c>
      <c r="D89" s="3" t="s">
        <v>59</v>
      </c>
      <c r="E89" s="3" t="s">
        <v>60</v>
      </c>
      <c r="F89" s="3" t="s">
        <v>61</v>
      </c>
      <c r="G89" s="53"/>
      <c r="H89" s="53"/>
      <c r="I89" s="53"/>
      <c r="J89" s="54"/>
      <c r="K89" s="53"/>
      <c r="L89" s="53"/>
      <c r="M89" s="53"/>
      <c r="N89" s="53"/>
      <c r="O89" s="53"/>
      <c r="P89" s="54"/>
      <c r="Q89" s="53" t="str">
        <f>IF('Review Register'!M6="","",'Review Register'!M6)</f>
        <v/>
      </c>
      <c r="R89" s="53" t="str">
        <f>IF('Review Register'!D6="","",'Review Register'!D6)</f>
        <v/>
      </c>
    </row>
    <row r="90" spans="1:18" ht="60" hidden="1">
      <c r="A90" s="53" t="s">
        <v>28</v>
      </c>
      <c r="B90" s="3" t="s">
        <v>57</v>
      </c>
      <c r="C90" s="9" t="s">
        <v>62</v>
      </c>
      <c r="D90" s="3" t="s">
        <v>63</v>
      </c>
      <c r="E90" s="3" t="s">
        <v>64</v>
      </c>
      <c r="F90" s="3" t="s">
        <v>65</v>
      </c>
      <c r="G90" s="53"/>
      <c r="H90" s="53"/>
      <c r="I90" s="53"/>
      <c r="J90" s="54"/>
      <c r="K90" s="53"/>
      <c r="L90" s="53"/>
      <c r="M90" s="53"/>
      <c r="N90" s="53"/>
      <c r="O90" s="53"/>
      <c r="P90" s="54"/>
      <c r="Q90" s="53" t="str">
        <f>IF('Review Register'!M6="","",'Review Register'!M6)</f>
        <v/>
      </c>
      <c r="R90" s="53" t="str">
        <f>IF('Review Register'!D6="","",'Review Register'!D6)</f>
        <v/>
      </c>
    </row>
    <row r="91" spans="1:18" ht="75" hidden="1">
      <c r="A91" s="53" t="s">
        <v>28</v>
      </c>
      <c r="B91" s="3" t="s">
        <v>57</v>
      </c>
      <c r="C91" s="9" t="s">
        <v>66</v>
      </c>
      <c r="D91" s="3" t="s">
        <v>67</v>
      </c>
      <c r="E91" s="3" t="s">
        <v>68</v>
      </c>
      <c r="F91" s="3" t="s">
        <v>69</v>
      </c>
      <c r="G91" s="53"/>
      <c r="H91" s="53"/>
      <c r="I91" s="53"/>
      <c r="J91" s="54"/>
      <c r="K91" s="53"/>
      <c r="L91" s="53"/>
      <c r="M91" s="53"/>
      <c r="N91" s="53"/>
      <c r="O91" s="53"/>
      <c r="P91" s="54"/>
      <c r="Q91" s="53" t="str">
        <f>IF('Review Register'!M6="","",'Review Register'!M6)</f>
        <v/>
      </c>
      <c r="R91" s="53" t="str">
        <f>IF('Review Register'!D6="","",'Review Register'!D6)</f>
        <v/>
      </c>
    </row>
    <row r="92" spans="1:18" ht="60">
      <c r="A92" s="53" t="s">
        <v>28</v>
      </c>
      <c r="B92" s="3" t="s">
        <v>70</v>
      </c>
      <c r="C92" s="9" t="s">
        <v>71</v>
      </c>
      <c r="D92" s="3" t="s">
        <v>532</v>
      </c>
      <c r="E92" s="3" t="s">
        <v>72</v>
      </c>
      <c r="F92" s="3" t="s">
        <v>73</v>
      </c>
      <c r="G92" s="53"/>
      <c r="H92" s="53"/>
      <c r="I92" s="53"/>
      <c r="J92" s="54"/>
      <c r="K92" s="53"/>
      <c r="L92" s="53"/>
      <c r="M92" s="53"/>
      <c r="N92" s="53"/>
      <c r="O92" s="53"/>
      <c r="P92" s="54"/>
      <c r="Q92" s="53" t="str">
        <f>IF('Review Register'!M6="","",'Review Register'!M6)</f>
        <v/>
      </c>
      <c r="R92" s="53" t="str">
        <f>IF('Review Register'!D6="","",'Review Register'!D6)</f>
        <v/>
      </c>
    </row>
    <row r="93" spans="1:18" ht="60" hidden="1">
      <c r="A93" s="53" t="s">
        <v>28</v>
      </c>
      <c r="B93" s="3" t="s">
        <v>70</v>
      </c>
      <c r="C93" s="9" t="s">
        <v>74</v>
      </c>
      <c r="D93" s="3" t="s">
        <v>75</v>
      </c>
      <c r="E93" s="3" t="s">
        <v>76</v>
      </c>
      <c r="F93" s="3" t="s">
        <v>77</v>
      </c>
      <c r="G93" s="53"/>
      <c r="H93" s="53"/>
      <c r="I93" s="53"/>
      <c r="J93" s="54"/>
      <c r="K93" s="53"/>
      <c r="L93" s="53"/>
      <c r="M93" s="53"/>
      <c r="N93" s="53"/>
      <c r="O93" s="53"/>
      <c r="P93" s="54"/>
      <c r="Q93" s="53" t="str">
        <f>IF('Review Register'!M6="","",'Review Register'!M6)</f>
        <v/>
      </c>
      <c r="R93" s="53" t="str">
        <f>IF('Review Register'!D6="","",'Review Register'!D6)</f>
        <v/>
      </c>
    </row>
    <row r="94" spans="1:18" ht="60" hidden="1">
      <c r="A94" s="53" t="s">
        <v>28</v>
      </c>
      <c r="B94" s="3" t="s">
        <v>70</v>
      </c>
      <c r="C94" s="9" t="s">
        <v>78</v>
      </c>
      <c r="D94" s="3" t="s">
        <v>79</v>
      </c>
      <c r="E94" s="3" t="s">
        <v>80</v>
      </c>
      <c r="F94" s="3" t="s">
        <v>81</v>
      </c>
      <c r="G94" s="53"/>
      <c r="H94" s="53"/>
      <c r="I94" s="53"/>
      <c r="J94" s="54"/>
      <c r="K94" s="53"/>
      <c r="L94" s="53"/>
      <c r="M94" s="53"/>
      <c r="N94" s="53"/>
      <c r="O94" s="53"/>
      <c r="P94" s="54"/>
      <c r="Q94" s="53" t="str">
        <f>IF('Review Register'!M6="","",'Review Register'!M6)</f>
        <v/>
      </c>
      <c r="R94" s="53" t="str">
        <f>IF('Review Register'!D6="","",'Review Register'!D6)</f>
        <v/>
      </c>
    </row>
    <row r="95" spans="1:18" ht="45">
      <c r="A95" s="53" t="s">
        <v>28</v>
      </c>
      <c r="B95" s="3" t="s">
        <v>82</v>
      </c>
      <c r="C95" s="9" t="s">
        <v>83</v>
      </c>
      <c r="D95" s="3" t="s">
        <v>84</v>
      </c>
      <c r="E95" s="3" t="s">
        <v>85</v>
      </c>
      <c r="F95" s="3" t="s">
        <v>86</v>
      </c>
      <c r="G95" s="53"/>
      <c r="H95" s="53"/>
      <c r="I95" s="53"/>
      <c r="J95" s="54"/>
      <c r="K95" s="53"/>
      <c r="L95" s="53"/>
      <c r="M95" s="53"/>
      <c r="N95" s="53"/>
      <c r="O95" s="53"/>
      <c r="P95" s="54"/>
      <c r="Q95" s="53" t="str">
        <f>IF('Review Register'!M6="","",'Review Register'!M6)</f>
        <v/>
      </c>
      <c r="R95" s="53" t="str">
        <f>IF('Review Register'!D6="","",'Review Register'!D6)</f>
        <v/>
      </c>
    </row>
    <row r="96" spans="1:18" ht="60" hidden="1">
      <c r="A96" s="53" t="s">
        <v>28</v>
      </c>
      <c r="B96" s="3" t="s">
        <v>82</v>
      </c>
      <c r="C96" s="9" t="s">
        <v>87</v>
      </c>
      <c r="D96" s="3" t="s">
        <v>88</v>
      </c>
      <c r="E96" s="3" t="s">
        <v>89</v>
      </c>
      <c r="F96" s="3" t="s">
        <v>90</v>
      </c>
      <c r="G96" s="53"/>
      <c r="H96" s="53"/>
      <c r="I96" s="53"/>
      <c r="J96" s="54"/>
      <c r="K96" s="53"/>
      <c r="L96" s="53"/>
      <c r="M96" s="53"/>
      <c r="N96" s="53"/>
      <c r="O96" s="53"/>
      <c r="P96" s="54"/>
      <c r="Q96" s="53" t="str">
        <f>IF('Review Register'!M6="","",'Review Register'!M6)</f>
        <v/>
      </c>
      <c r="R96" s="53" t="str">
        <f>IF('Review Register'!D6="","",'Review Register'!D6)</f>
        <v/>
      </c>
    </row>
    <row r="97" spans="1:18" ht="60" hidden="1">
      <c r="A97" s="53" t="s">
        <v>28</v>
      </c>
      <c r="B97" s="3" t="s">
        <v>82</v>
      </c>
      <c r="C97" s="9" t="s">
        <v>91</v>
      </c>
      <c r="D97" s="3" t="s">
        <v>92</v>
      </c>
      <c r="E97" s="3" t="s">
        <v>93</v>
      </c>
      <c r="F97" s="3" t="s">
        <v>94</v>
      </c>
      <c r="G97" s="53"/>
      <c r="H97" s="53"/>
      <c r="I97" s="53"/>
      <c r="J97" s="54"/>
      <c r="K97" s="53"/>
      <c r="L97" s="53"/>
      <c r="M97" s="53"/>
      <c r="N97" s="53"/>
      <c r="O97" s="53"/>
      <c r="P97" s="54"/>
      <c r="Q97" s="53" t="str">
        <f>IF('Review Register'!M6="","",'Review Register'!M6)</f>
        <v/>
      </c>
      <c r="R97" s="53" t="str">
        <f>IF('Review Register'!D6="","",'Review Register'!D6)</f>
        <v/>
      </c>
    </row>
    <row r="98" spans="1:18" ht="60">
      <c r="A98" s="53" t="s">
        <v>28</v>
      </c>
      <c r="B98" s="3" t="s">
        <v>95</v>
      </c>
      <c r="C98" s="9" t="s">
        <v>96</v>
      </c>
      <c r="D98" s="3" t="s">
        <v>97</v>
      </c>
      <c r="E98" s="3" t="s">
        <v>98</v>
      </c>
      <c r="F98" s="3" t="s">
        <v>99</v>
      </c>
      <c r="G98" s="53"/>
      <c r="H98" s="53"/>
      <c r="I98" s="53"/>
      <c r="J98" s="54"/>
      <c r="K98" s="53"/>
      <c r="L98" s="53"/>
      <c r="M98" s="53"/>
      <c r="N98" s="53"/>
      <c r="O98" s="53"/>
      <c r="P98" s="54"/>
      <c r="Q98" s="53" t="str">
        <f>IF('Review Register'!M6="","",'Review Register'!M6)</f>
        <v/>
      </c>
      <c r="R98" s="53" t="str">
        <f>IF('Review Register'!D6="","",'Review Register'!D6)</f>
        <v/>
      </c>
    </row>
    <row r="99" spans="1:18" ht="60" hidden="1">
      <c r="A99" s="53" t="s">
        <v>28</v>
      </c>
      <c r="B99" s="3" t="s">
        <v>95</v>
      </c>
      <c r="C99" s="9" t="s">
        <v>100</v>
      </c>
      <c r="D99" s="3" t="s">
        <v>101</v>
      </c>
      <c r="E99" s="3" t="s">
        <v>102</v>
      </c>
      <c r="F99" s="3" t="s">
        <v>103</v>
      </c>
      <c r="G99" s="53"/>
      <c r="H99" s="53"/>
      <c r="I99" s="53"/>
      <c r="J99" s="54"/>
      <c r="K99" s="53"/>
      <c r="L99" s="53"/>
      <c r="M99" s="53"/>
      <c r="N99" s="53"/>
      <c r="O99" s="53"/>
      <c r="P99" s="54"/>
      <c r="Q99" s="53" t="str">
        <f>IF('Review Register'!M6="","",'Review Register'!M6)</f>
        <v/>
      </c>
      <c r="R99" s="53" t="str">
        <f>IF('Review Register'!D6="","",'Review Register'!D6)</f>
        <v/>
      </c>
    </row>
    <row r="100" spans="1:18" ht="45" hidden="1">
      <c r="A100" s="53" t="s">
        <v>28</v>
      </c>
      <c r="B100" s="3" t="s">
        <v>95</v>
      </c>
      <c r="C100" s="9" t="s">
        <v>104</v>
      </c>
      <c r="D100" s="3" t="s">
        <v>105</v>
      </c>
      <c r="E100" s="3" t="s">
        <v>106</v>
      </c>
      <c r="F100" s="3" t="s">
        <v>107</v>
      </c>
      <c r="G100" s="53"/>
      <c r="H100" s="53"/>
      <c r="I100" s="53"/>
      <c r="J100" s="54"/>
      <c r="K100" s="53"/>
      <c r="L100" s="53"/>
      <c r="M100" s="53"/>
      <c r="N100" s="53"/>
      <c r="O100" s="53"/>
      <c r="P100" s="54"/>
      <c r="Q100" s="53" t="str">
        <f>IF('Review Register'!M6="","",'Review Register'!M6)</f>
        <v/>
      </c>
      <c r="R100" s="53" t="str">
        <f>IF('Review Register'!D6="","",'Review Register'!D6)</f>
        <v/>
      </c>
    </row>
    <row r="101" spans="1:18" ht="45">
      <c r="A101" s="53" t="s">
        <v>28</v>
      </c>
      <c r="B101" s="3" t="s">
        <v>108</v>
      </c>
      <c r="C101" s="9" t="s">
        <v>109</v>
      </c>
      <c r="D101" s="3" t="s">
        <v>110</v>
      </c>
      <c r="E101" s="3" t="s">
        <v>111</v>
      </c>
      <c r="F101" s="3" t="s">
        <v>112</v>
      </c>
      <c r="G101" s="53"/>
      <c r="H101" s="53"/>
      <c r="I101" s="53"/>
      <c r="J101" s="54"/>
      <c r="K101" s="53"/>
      <c r="L101" s="53"/>
      <c r="M101" s="53"/>
      <c r="N101" s="53"/>
      <c r="O101" s="53"/>
      <c r="P101" s="54"/>
      <c r="Q101" s="53" t="str">
        <f>IF('Review Register'!M6="","",'Review Register'!M6)</f>
        <v/>
      </c>
      <c r="R101" s="53" t="str">
        <f>IF('Review Register'!D6="","",'Review Register'!D6)</f>
        <v/>
      </c>
    </row>
    <row r="102" spans="1:18" ht="60" hidden="1">
      <c r="A102" s="53" t="s">
        <v>28</v>
      </c>
      <c r="B102" s="3" t="s">
        <v>108</v>
      </c>
      <c r="C102" s="9" t="s">
        <v>113</v>
      </c>
      <c r="D102" s="3" t="s">
        <v>114</v>
      </c>
      <c r="E102" s="3" t="s">
        <v>115</v>
      </c>
      <c r="F102" s="3" t="s">
        <v>116</v>
      </c>
      <c r="G102" s="53"/>
      <c r="H102" s="53"/>
      <c r="I102" s="53"/>
      <c r="J102" s="54"/>
      <c r="K102" s="53"/>
      <c r="L102" s="53"/>
      <c r="M102" s="53"/>
      <c r="N102" s="53"/>
      <c r="O102" s="53"/>
      <c r="P102" s="54"/>
      <c r="Q102" s="53" t="str">
        <f>IF('Review Register'!M6="","",'Review Register'!M6)</f>
        <v/>
      </c>
      <c r="R102" s="53" t="str">
        <f>IF('Review Register'!D6="","",'Review Register'!D6)</f>
        <v/>
      </c>
    </row>
    <row r="103" spans="1:18" ht="45" hidden="1">
      <c r="A103" s="53" t="s">
        <v>28</v>
      </c>
      <c r="B103" s="3" t="s">
        <v>108</v>
      </c>
      <c r="C103" s="9" t="s">
        <v>117</v>
      </c>
      <c r="D103" s="3" t="s">
        <v>118</v>
      </c>
      <c r="E103" s="3" t="s">
        <v>119</v>
      </c>
      <c r="F103" s="3" t="s">
        <v>120</v>
      </c>
      <c r="G103" s="53"/>
      <c r="H103" s="53"/>
      <c r="I103" s="53"/>
      <c r="J103" s="54"/>
      <c r="K103" s="53"/>
      <c r="L103" s="53"/>
      <c r="M103" s="53"/>
      <c r="N103" s="53"/>
      <c r="O103" s="53"/>
      <c r="P103" s="54"/>
      <c r="Q103" s="53" t="str">
        <f>IF('Review Register'!M6="","",'Review Register'!M6)</f>
        <v/>
      </c>
      <c r="R103" s="53" t="str">
        <f>IF('Review Register'!D6="","",'Review Register'!D6)</f>
        <v/>
      </c>
    </row>
    <row r="104" spans="1:18" ht="45">
      <c r="A104" s="53" t="s">
        <v>28</v>
      </c>
      <c r="B104" s="3" t="s">
        <v>121</v>
      </c>
      <c r="C104" s="9" t="s">
        <v>122</v>
      </c>
      <c r="D104" s="3" t="s">
        <v>123</v>
      </c>
      <c r="E104" s="3" t="s">
        <v>124</v>
      </c>
      <c r="F104" s="3" t="s">
        <v>125</v>
      </c>
      <c r="G104" s="53"/>
      <c r="H104" s="53"/>
      <c r="I104" s="53"/>
      <c r="J104" s="54"/>
      <c r="K104" s="53"/>
      <c r="L104" s="53"/>
      <c r="M104" s="53"/>
      <c r="N104" s="53"/>
      <c r="O104" s="53"/>
      <c r="P104" s="54"/>
      <c r="Q104" s="53" t="str">
        <f>IF('Review Register'!M6="","",'Review Register'!M6)</f>
        <v/>
      </c>
      <c r="R104" s="53" t="str">
        <f>IF('Review Register'!D6="","",'Review Register'!D6)</f>
        <v/>
      </c>
    </row>
    <row r="105" spans="1:18" ht="60" hidden="1">
      <c r="A105" s="53" t="s">
        <v>28</v>
      </c>
      <c r="B105" s="3" t="s">
        <v>121</v>
      </c>
      <c r="C105" s="9" t="s">
        <v>126</v>
      </c>
      <c r="D105" s="3" t="s">
        <v>127</v>
      </c>
      <c r="E105" s="3" t="s">
        <v>128</v>
      </c>
      <c r="F105" s="3" t="s">
        <v>129</v>
      </c>
      <c r="G105" s="53"/>
      <c r="H105" s="53"/>
      <c r="I105" s="53"/>
      <c r="J105" s="54"/>
      <c r="K105" s="53"/>
      <c r="L105" s="53"/>
      <c r="M105" s="53"/>
      <c r="N105" s="53"/>
      <c r="O105" s="53"/>
      <c r="P105" s="54"/>
      <c r="Q105" s="53" t="str">
        <f>IF('Review Register'!M6="","",'Review Register'!M6)</f>
        <v/>
      </c>
      <c r="R105" s="53" t="str">
        <f>IF('Review Register'!D6="","",'Review Register'!D6)</f>
        <v/>
      </c>
    </row>
    <row r="106" spans="1:18" ht="75" hidden="1">
      <c r="A106" s="53" t="s">
        <v>28</v>
      </c>
      <c r="B106" s="3" t="s">
        <v>121</v>
      </c>
      <c r="C106" s="9" t="s">
        <v>130</v>
      </c>
      <c r="D106" s="3" t="s">
        <v>131</v>
      </c>
      <c r="E106" s="3" t="s">
        <v>132</v>
      </c>
      <c r="F106" s="3" t="s">
        <v>133</v>
      </c>
      <c r="G106" s="53"/>
      <c r="H106" s="53"/>
      <c r="I106" s="53"/>
      <c r="J106" s="54"/>
      <c r="K106" s="53"/>
      <c r="L106" s="53"/>
      <c r="M106" s="53"/>
      <c r="N106" s="53"/>
      <c r="O106" s="53"/>
      <c r="P106" s="54"/>
      <c r="Q106" s="53" t="str">
        <f>IF('Review Register'!M6="","",'Review Register'!M6)</f>
        <v/>
      </c>
      <c r="R106" s="53" t="str">
        <f>IF('Review Register'!D6="","",'Review Register'!D6)</f>
        <v/>
      </c>
    </row>
    <row r="107" spans="1:18">
      <c r="A107" s="53"/>
      <c r="B107" s="3"/>
      <c r="C107" s="9"/>
      <c r="D107" s="3"/>
      <c r="E107" s="3"/>
      <c r="F107" s="3"/>
      <c r="G107" s="53"/>
      <c r="H107" s="53"/>
      <c r="I107" s="53"/>
      <c r="J107" s="54"/>
      <c r="K107" s="53"/>
      <c r="L107" s="53"/>
      <c r="M107" s="53"/>
      <c r="N107" s="53"/>
      <c r="O107" s="53"/>
      <c r="P107" s="54"/>
      <c r="Q107" s="53"/>
      <c r="R107" s="53"/>
    </row>
    <row r="108" spans="1:18">
      <c r="A108" s="53"/>
      <c r="B108" s="3"/>
      <c r="C108" s="9"/>
      <c r="D108" s="3"/>
      <c r="E108" s="3"/>
      <c r="F108" s="3"/>
      <c r="G108" s="53"/>
      <c r="H108" s="53"/>
      <c r="I108" s="53"/>
      <c r="J108" s="54"/>
      <c r="K108" s="53"/>
      <c r="L108" s="53"/>
      <c r="M108" s="53"/>
      <c r="N108" s="53"/>
      <c r="O108" s="53"/>
      <c r="P108" s="54"/>
      <c r="Q108" s="53"/>
      <c r="R108" s="53"/>
    </row>
    <row r="109" spans="1:18">
      <c r="A109" s="53"/>
      <c r="B109" s="3"/>
      <c r="C109" s="9"/>
      <c r="D109" s="3"/>
      <c r="E109" s="3"/>
      <c r="F109" s="3"/>
      <c r="G109" s="53"/>
      <c r="H109" s="53"/>
      <c r="I109" s="53"/>
      <c r="J109" s="54"/>
      <c r="K109" s="53"/>
      <c r="L109" s="53"/>
      <c r="M109" s="53"/>
      <c r="N109" s="53"/>
      <c r="O109" s="53"/>
      <c r="P109" s="54"/>
      <c r="Q109" s="53"/>
      <c r="R109" s="53"/>
    </row>
    <row r="110" spans="1:18">
      <c r="A110" s="53"/>
      <c r="B110" s="3"/>
      <c r="C110" s="9"/>
      <c r="D110" s="3"/>
      <c r="E110" s="3"/>
      <c r="F110" s="3"/>
      <c r="G110" s="53"/>
      <c r="H110" s="53"/>
      <c r="I110" s="53"/>
      <c r="J110" s="54"/>
      <c r="K110" s="53"/>
      <c r="L110" s="53"/>
      <c r="M110" s="53"/>
      <c r="N110" s="53"/>
      <c r="O110" s="53"/>
      <c r="P110" s="54"/>
      <c r="Q110" s="53"/>
      <c r="R110" s="53"/>
    </row>
    <row r="111" spans="1:18">
      <c r="A111" s="53"/>
      <c r="B111" s="3"/>
      <c r="C111" s="9"/>
      <c r="D111" s="3"/>
      <c r="E111" s="3"/>
      <c r="F111" s="3"/>
      <c r="G111" s="53"/>
      <c r="H111" s="53"/>
      <c r="I111" s="53"/>
      <c r="J111" s="54"/>
      <c r="K111" s="53"/>
      <c r="L111" s="53"/>
      <c r="M111" s="53"/>
      <c r="N111" s="53"/>
      <c r="O111" s="53"/>
      <c r="P111" s="54"/>
      <c r="Q111" s="53"/>
      <c r="R111" s="53"/>
    </row>
    <row r="112" spans="1:18">
      <c r="A112" s="53"/>
      <c r="B112" s="3"/>
      <c r="C112" s="9"/>
      <c r="D112" s="3"/>
      <c r="E112" s="3"/>
      <c r="F112" s="3"/>
      <c r="G112" s="53"/>
      <c r="H112" s="53"/>
      <c r="I112" s="53"/>
      <c r="J112" s="54"/>
      <c r="K112" s="53"/>
      <c r="L112" s="53"/>
      <c r="M112" s="53"/>
      <c r="N112" s="53"/>
      <c r="O112" s="53"/>
      <c r="P112" s="54"/>
      <c r="Q112" s="53"/>
      <c r="R112" s="53"/>
    </row>
    <row r="113" spans="1:18">
      <c r="A113" s="53"/>
      <c r="B113" s="3"/>
      <c r="C113" s="9"/>
      <c r="D113" s="3"/>
      <c r="E113" s="3"/>
      <c r="F113" s="3"/>
      <c r="G113" s="53"/>
      <c r="H113" s="53"/>
      <c r="I113" s="53"/>
      <c r="J113" s="54"/>
      <c r="K113" s="53"/>
      <c r="L113" s="53"/>
      <c r="M113" s="53"/>
      <c r="N113" s="53"/>
      <c r="O113" s="53"/>
      <c r="P113" s="54"/>
      <c r="Q113" s="53"/>
      <c r="R113" s="53"/>
    </row>
    <row r="114" spans="1:18">
      <c r="A114" s="53"/>
      <c r="B114" s="3"/>
      <c r="C114" s="9"/>
      <c r="D114" s="3"/>
      <c r="E114" s="3"/>
      <c r="F114" s="3"/>
      <c r="G114" s="53"/>
      <c r="H114" s="53"/>
      <c r="I114" s="53"/>
      <c r="J114" s="54"/>
      <c r="K114" s="53"/>
      <c r="L114" s="53"/>
      <c r="M114" s="53"/>
      <c r="N114" s="53"/>
      <c r="O114" s="53"/>
      <c r="P114" s="54"/>
      <c r="Q114" s="53"/>
      <c r="R114" s="53"/>
    </row>
    <row r="115" spans="1:18">
      <c r="A115" s="53"/>
      <c r="B115" s="3"/>
      <c r="C115" s="9"/>
      <c r="D115" s="3"/>
      <c r="E115" s="3"/>
      <c r="F115" s="3"/>
      <c r="G115" s="53"/>
      <c r="H115" s="53"/>
      <c r="I115" s="53"/>
      <c r="J115" s="54"/>
      <c r="K115" s="53"/>
      <c r="L115" s="53"/>
      <c r="M115" s="53"/>
      <c r="N115" s="53"/>
      <c r="O115" s="53"/>
      <c r="P115" s="54"/>
      <c r="Q115" s="53"/>
      <c r="R115" s="53"/>
    </row>
    <row r="116" spans="1:18">
      <c r="A116" s="53"/>
      <c r="B116" s="3"/>
      <c r="C116" s="9"/>
      <c r="D116" s="3"/>
      <c r="E116" s="3"/>
      <c r="F116" s="3"/>
      <c r="G116" s="53"/>
      <c r="H116" s="53"/>
      <c r="I116" s="53"/>
      <c r="J116" s="54"/>
      <c r="K116" s="53"/>
      <c r="L116" s="53"/>
      <c r="M116" s="53"/>
      <c r="N116" s="53"/>
      <c r="O116" s="53"/>
      <c r="P116" s="54"/>
      <c r="Q116" s="53"/>
      <c r="R116" s="53"/>
    </row>
    <row r="117" spans="1:18">
      <c r="A117" s="53"/>
      <c r="B117" s="3"/>
      <c r="C117" s="9"/>
      <c r="D117" s="3"/>
      <c r="E117" s="3"/>
      <c r="F117" s="3"/>
      <c r="G117" s="53"/>
      <c r="H117" s="53"/>
      <c r="I117" s="53"/>
      <c r="J117" s="54"/>
      <c r="K117" s="53"/>
      <c r="L117" s="53"/>
      <c r="M117" s="53"/>
      <c r="N117" s="53"/>
      <c r="O117" s="53"/>
      <c r="P117" s="54"/>
      <c r="Q117" s="53"/>
      <c r="R117" s="53"/>
    </row>
    <row r="118" spans="1:18">
      <c r="A118" s="53"/>
      <c r="B118" s="3"/>
      <c r="C118" s="9"/>
      <c r="D118" s="3"/>
      <c r="E118" s="3"/>
      <c r="F118" s="3"/>
      <c r="G118" s="53"/>
      <c r="H118" s="53"/>
      <c r="I118" s="53"/>
      <c r="J118" s="54"/>
      <c r="K118" s="53"/>
      <c r="L118" s="53"/>
      <c r="M118" s="53"/>
      <c r="N118" s="53"/>
      <c r="O118" s="53"/>
      <c r="P118" s="54"/>
      <c r="Q118" s="53"/>
      <c r="R118" s="53"/>
    </row>
    <row r="119" spans="1:18">
      <c r="A119" s="53"/>
      <c r="B119" s="3"/>
      <c r="C119" s="9"/>
      <c r="D119" s="3"/>
      <c r="E119" s="3"/>
      <c r="F119" s="3"/>
      <c r="G119" s="53"/>
      <c r="H119" s="53"/>
      <c r="I119" s="53"/>
      <c r="J119" s="54"/>
      <c r="K119" s="53"/>
      <c r="L119" s="53"/>
      <c r="M119" s="53"/>
      <c r="N119" s="53"/>
      <c r="O119" s="53"/>
      <c r="P119" s="54"/>
      <c r="Q119" s="53"/>
      <c r="R119" s="53"/>
    </row>
    <row r="120" spans="1:18">
      <c r="A120" s="53"/>
      <c r="B120" s="3"/>
      <c r="C120" s="9"/>
      <c r="D120" s="3"/>
      <c r="E120" s="3"/>
      <c r="F120" s="3"/>
      <c r="G120" s="53"/>
      <c r="H120" s="53"/>
      <c r="I120" s="53"/>
      <c r="J120" s="54"/>
      <c r="K120" s="53"/>
      <c r="L120" s="53"/>
      <c r="M120" s="53"/>
      <c r="N120" s="53"/>
      <c r="O120" s="53"/>
      <c r="P120" s="54"/>
      <c r="Q120" s="53"/>
      <c r="R120" s="53"/>
    </row>
    <row r="121" spans="1:18">
      <c r="A121" s="53"/>
      <c r="B121" s="3"/>
      <c r="C121" s="9"/>
      <c r="D121" s="3"/>
      <c r="E121" s="3"/>
      <c r="F121" s="3"/>
      <c r="G121" s="53"/>
      <c r="H121" s="53"/>
      <c r="I121" s="53"/>
      <c r="J121" s="54"/>
      <c r="K121" s="53"/>
      <c r="L121" s="53"/>
      <c r="M121" s="53"/>
      <c r="N121" s="53"/>
      <c r="O121" s="53"/>
      <c r="P121" s="54"/>
      <c r="Q121" s="53"/>
      <c r="R121" s="53"/>
    </row>
    <row r="122" spans="1:18">
      <c r="A122" s="53"/>
      <c r="B122" s="3"/>
      <c r="C122" s="9"/>
      <c r="D122" s="3"/>
      <c r="E122" s="3"/>
      <c r="F122" s="3"/>
      <c r="G122" s="53"/>
      <c r="H122" s="53"/>
      <c r="I122" s="53"/>
      <c r="J122" s="54"/>
      <c r="K122" s="53"/>
      <c r="L122" s="53"/>
      <c r="M122" s="53"/>
      <c r="N122" s="53"/>
      <c r="O122" s="53"/>
      <c r="P122" s="54"/>
      <c r="Q122" s="53"/>
      <c r="R122" s="53"/>
    </row>
    <row r="123" spans="1:18">
      <c r="A123" s="53"/>
      <c r="B123" s="3"/>
      <c r="C123" s="9"/>
      <c r="D123" s="3"/>
      <c r="E123" s="3"/>
      <c r="F123" s="3"/>
      <c r="G123" s="53"/>
      <c r="H123" s="53"/>
      <c r="I123" s="53"/>
      <c r="J123" s="54"/>
      <c r="K123" s="53"/>
      <c r="L123" s="53"/>
      <c r="M123" s="53"/>
      <c r="N123" s="53"/>
      <c r="O123" s="53"/>
      <c r="P123" s="54"/>
      <c r="Q123" s="53"/>
      <c r="R123" s="53"/>
    </row>
    <row r="124" spans="1:18">
      <c r="A124" s="53"/>
      <c r="B124" s="3"/>
      <c r="C124" s="9"/>
      <c r="D124" s="3"/>
      <c r="E124" s="3"/>
      <c r="F124" s="3"/>
      <c r="G124" s="53"/>
      <c r="H124" s="53"/>
      <c r="I124" s="53"/>
      <c r="J124" s="54"/>
      <c r="K124" s="53"/>
      <c r="L124" s="53"/>
      <c r="M124" s="53"/>
      <c r="N124" s="53"/>
      <c r="O124" s="53"/>
      <c r="P124" s="54"/>
      <c r="Q124" s="53"/>
      <c r="R124" s="53"/>
    </row>
    <row r="125" spans="1:18">
      <c r="A125" s="53"/>
      <c r="B125" s="3"/>
      <c r="C125" s="9"/>
      <c r="D125" s="3"/>
      <c r="E125" s="3"/>
      <c r="F125" s="3"/>
      <c r="G125" s="53"/>
      <c r="H125" s="53"/>
      <c r="I125" s="53"/>
      <c r="J125" s="54"/>
      <c r="K125" s="53"/>
      <c r="L125" s="53"/>
      <c r="M125" s="53"/>
      <c r="N125" s="53"/>
      <c r="O125" s="53"/>
      <c r="P125" s="54"/>
      <c r="Q125" s="53"/>
      <c r="R125" s="53"/>
    </row>
    <row r="126" spans="1:18">
      <c r="A126" s="53"/>
      <c r="B126" s="3"/>
      <c r="C126" s="9"/>
      <c r="D126" s="3"/>
      <c r="E126" s="3"/>
      <c r="F126" s="3"/>
      <c r="G126" s="53"/>
      <c r="H126" s="53"/>
      <c r="I126" s="53"/>
      <c r="J126" s="54"/>
      <c r="K126" s="53"/>
      <c r="L126" s="53"/>
      <c r="M126" s="53"/>
      <c r="N126" s="53"/>
      <c r="O126" s="53"/>
      <c r="P126" s="54"/>
      <c r="Q126" s="53"/>
      <c r="R126" s="53"/>
    </row>
    <row r="127" spans="1:18">
      <c r="A127" s="53"/>
      <c r="B127" s="3"/>
      <c r="C127" s="9"/>
      <c r="D127" s="3"/>
      <c r="E127" s="3"/>
      <c r="F127" s="3"/>
      <c r="G127" s="53"/>
      <c r="H127" s="53"/>
      <c r="I127" s="53"/>
      <c r="J127" s="54"/>
      <c r="K127" s="53"/>
      <c r="L127" s="53"/>
      <c r="M127" s="53"/>
      <c r="N127" s="53"/>
      <c r="O127" s="53"/>
      <c r="P127" s="54"/>
      <c r="Q127" s="53"/>
      <c r="R127" s="53"/>
    </row>
    <row r="128" spans="1:18">
      <c r="A128" s="53"/>
      <c r="B128" s="3"/>
      <c r="C128" s="9"/>
      <c r="D128" s="3"/>
      <c r="E128" s="3"/>
      <c r="F128" s="3"/>
      <c r="G128" s="53"/>
      <c r="H128" s="53"/>
      <c r="I128" s="53"/>
      <c r="J128" s="54"/>
      <c r="K128" s="53"/>
      <c r="L128" s="53"/>
      <c r="M128" s="53"/>
      <c r="N128" s="53"/>
      <c r="O128" s="53"/>
      <c r="P128" s="54"/>
      <c r="Q128" s="53"/>
      <c r="R128" s="53"/>
    </row>
    <row r="129" spans="1:18">
      <c r="A129" s="53"/>
      <c r="B129" s="3"/>
      <c r="C129" s="9"/>
      <c r="D129" s="3"/>
      <c r="E129" s="3"/>
      <c r="F129" s="3"/>
      <c r="G129" s="53"/>
      <c r="H129" s="53"/>
      <c r="I129" s="53"/>
      <c r="J129" s="54"/>
      <c r="K129" s="53"/>
      <c r="L129" s="53"/>
      <c r="M129" s="53"/>
      <c r="N129" s="53"/>
      <c r="O129" s="53"/>
      <c r="P129" s="54"/>
      <c r="Q129" s="53"/>
      <c r="R129" s="53"/>
    </row>
    <row r="130" spans="1:18">
      <c r="A130" s="53"/>
      <c r="B130" s="3"/>
      <c r="C130" s="9"/>
      <c r="D130" s="3"/>
      <c r="E130" s="3"/>
      <c r="F130" s="3"/>
      <c r="G130" s="53"/>
      <c r="H130" s="53"/>
      <c r="I130" s="53"/>
      <c r="J130" s="54"/>
      <c r="K130" s="53"/>
      <c r="L130" s="53"/>
      <c r="M130" s="53"/>
      <c r="N130" s="53"/>
      <c r="O130" s="53"/>
      <c r="P130" s="54"/>
      <c r="Q130" s="53"/>
      <c r="R130" s="53"/>
    </row>
    <row r="131" spans="1:18">
      <c r="A131" s="53"/>
      <c r="B131" s="3"/>
      <c r="C131" s="9"/>
      <c r="D131" s="3"/>
      <c r="E131" s="3"/>
      <c r="F131" s="3"/>
      <c r="G131" s="53"/>
      <c r="H131" s="53"/>
      <c r="I131" s="53"/>
      <c r="J131" s="54"/>
      <c r="K131" s="53"/>
      <c r="L131" s="53"/>
      <c r="M131" s="53"/>
      <c r="N131" s="53"/>
      <c r="O131" s="53"/>
      <c r="P131" s="54"/>
      <c r="Q131" s="53"/>
      <c r="R131" s="53"/>
    </row>
    <row r="132" spans="1:18">
      <c r="A132" s="53"/>
      <c r="B132" s="3"/>
      <c r="C132" s="9"/>
      <c r="D132" s="3"/>
      <c r="E132" s="3"/>
      <c r="F132" s="3"/>
      <c r="G132" s="53"/>
      <c r="H132" s="53"/>
      <c r="I132" s="53"/>
      <c r="J132" s="54"/>
      <c r="K132" s="53"/>
      <c r="L132" s="53"/>
      <c r="M132" s="53"/>
      <c r="N132" s="53"/>
      <c r="O132" s="53"/>
      <c r="P132" s="54"/>
      <c r="Q132" s="53"/>
      <c r="R132" s="53"/>
    </row>
    <row r="133" spans="1:18">
      <c r="A133" s="53"/>
      <c r="B133" s="3"/>
      <c r="C133" s="9"/>
      <c r="D133" s="3"/>
      <c r="E133" s="3"/>
      <c r="F133" s="3"/>
      <c r="G133" s="53"/>
      <c r="H133" s="53"/>
      <c r="I133" s="53"/>
      <c r="J133" s="54"/>
      <c r="K133" s="53"/>
      <c r="L133" s="53"/>
      <c r="M133" s="53"/>
      <c r="N133" s="53"/>
      <c r="O133" s="53"/>
      <c r="P133" s="54"/>
      <c r="Q133" s="53"/>
      <c r="R133" s="53"/>
    </row>
    <row r="134" spans="1:18">
      <c r="A134" s="53"/>
      <c r="B134" s="3"/>
      <c r="C134" s="9"/>
      <c r="D134" s="3"/>
      <c r="E134" s="3"/>
      <c r="F134" s="3"/>
      <c r="G134" s="53"/>
      <c r="H134" s="53"/>
      <c r="I134" s="53"/>
      <c r="J134" s="54"/>
      <c r="K134" s="53"/>
      <c r="L134" s="53"/>
      <c r="M134" s="53"/>
      <c r="N134" s="53"/>
      <c r="O134" s="53"/>
      <c r="P134" s="54"/>
      <c r="Q134" s="53"/>
      <c r="R134" s="53"/>
    </row>
    <row r="135" spans="1:18">
      <c r="A135" s="53"/>
      <c r="B135" s="3"/>
      <c r="C135" s="9"/>
      <c r="D135" s="3"/>
      <c r="E135" s="3"/>
      <c r="F135" s="3"/>
      <c r="G135" s="53"/>
      <c r="H135" s="53"/>
      <c r="I135" s="53"/>
      <c r="J135" s="54"/>
      <c r="K135" s="53"/>
      <c r="L135" s="53"/>
      <c r="M135" s="53"/>
      <c r="N135" s="53"/>
      <c r="O135" s="53"/>
      <c r="P135" s="54"/>
      <c r="Q135" s="53"/>
      <c r="R135" s="53"/>
    </row>
    <row r="136" spans="1:18">
      <c r="A136" s="53"/>
      <c r="B136" s="3"/>
      <c r="C136" s="9"/>
      <c r="D136" s="3"/>
      <c r="E136" s="3"/>
      <c r="F136" s="3"/>
      <c r="G136" s="53"/>
      <c r="H136" s="53"/>
      <c r="I136" s="53"/>
      <c r="J136" s="54"/>
      <c r="K136" s="53"/>
      <c r="L136" s="53"/>
      <c r="M136" s="53"/>
      <c r="N136" s="53"/>
      <c r="O136" s="53"/>
      <c r="P136" s="54"/>
      <c r="Q136" s="53"/>
      <c r="R136" s="53"/>
    </row>
    <row r="137" spans="1:18">
      <c r="A137" s="53"/>
      <c r="B137" s="3"/>
      <c r="C137" s="9"/>
      <c r="D137" s="3"/>
      <c r="E137" s="3"/>
      <c r="F137" s="3"/>
      <c r="G137" s="53"/>
      <c r="H137" s="53"/>
      <c r="I137" s="53"/>
      <c r="J137" s="54"/>
      <c r="K137" s="53"/>
      <c r="L137" s="53"/>
      <c r="M137" s="53"/>
      <c r="N137" s="53"/>
      <c r="O137" s="53"/>
      <c r="P137" s="54"/>
      <c r="Q137" s="53"/>
      <c r="R137" s="53"/>
    </row>
    <row r="138" spans="1:18">
      <c r="A138" s="53"/>
      <c r="B138" s="3"/>
      <c r="C138" s="9"/>
      <c r="D138" s="3"/>
      <c r="E138" s="3"/>
      <c r="F138" s="3"/>
      <c r="G138" s="53"/>
      <c r="H138" s="53"/>
      <c r="I138" s="53"/>
      <c r="J138" s="54"/>
      <c r="K138" s="53"/>
      <c r="L138" s="53"/>
      <c r="M138" s="53"/>
      <c r="N138" s="53"/>
      <c r="O138" s="53"/>
      <c r="P138" s="54"/>
      <c r="Q138" s="53"/>
      <c r="R138" s="53"/>
    </row>
    <row r="139" spans="1:18">
      <c r="A139" s="53"/>
      <c r="B139" s="3"/>
      <c r="C139" s="9"/>
      <c r="D139" s="3"/>
      <c r="E139" s="3"/>
      <c r="F139" s="3"/>
      <c r="G139" s="53"/>
      <c r="H139" s="53"/>
      <c r="I139" s="53"/>
      <c r="J139" s="54"/>
      <c r="K139" s="53"/>
      <c r="L139" s="53"/>
      <c r="M139" s="53"/>
      <c r="N139" s="53"/>
      <c r="O139" s="53"/>
      <c r="P139" s="54"/>
      <c r="Q139" s="53"/>
      <c r="R139" s="53"/>
    </row>
    <row r="140" spans="1:18">
      <c r="A140" s="53"/>
      <c r="B140" s="3"/>
      <c r="C140" s="9"/>
      <c r="D140" s="3"/>
      <c r="E140" s="3"/>
      <c r="F140" s="3"/>
      <c r="G140" s="53"/>
      <c r="H140" s="53"/>
      <c r="I140" s="53"/>
      <c r="J140" s="54"/>
      <c r="K140" s="53"/>
      <c r="L140" s="53"/>
      <c r="M140" s="53"/>
      <c r="N140" s="53"/>
      <c r="O140" s="53"/>
      <c r="P140" s="54"/>
      <c r="Q140" s="53"/>
      <c r="R140" s="53"/>
    </row>
    <row r="141" spans="1:18">
      <c r="A141" s="53"/>
      <c r="B141" s="3"/>
      <c r="C141" s="9"/>
      <c r="D141" s="3"/>
      <c r="E141" s="3"/>
      <c r="F141" s="3"/>
      <c r="G141" s="53"/>
      <c r="H141" s="53"/>
      <c r="I141" s="53"/>
      <c r="J141" s="54"/>
      <c r="K141" s="53"/>
      <c r="L141" s="53"/>
      <c r="M141" s="53"/>
      <c r="N141" s="53"/>
      <c r="O141" s="53"/>
      <c r="P141" s="54"/>
      <c r="Q141" s="53"/>
      <c r="R141" s="53"/>
    </row>
    <row r="142" spans="1:18">
      <c r="A142" s="53"/>
      <c r="B142" s="3"/>
      <c r="C142" s="9"/>
      <c r="D142" s="3"/>
      <c r="E142" s="3"/>
      <c r="F142" s="3"/>
      <c r="G142" s="53"/>
      <c r="H142" s="53"/>
      <c r="I142" s="53"/>
      <c r="J142" s="54"/>
      <c r="K142" s="53"/>
      <c r="L142" s="53"/>
      <c r="M142" s="53"/>
      <c r="N142" s="53"/>
      <c r="O142" s="53"/>
      <c r="P142" s="54"/>
      <c r="Q142" s="53"/>
      <c r="R142" s="53"/>
    </row>
    <row r="143" spans="1:18">
      <c r="A143" s="53"/>
      <c r="B143" s="3"/>
      <c r="C143" s="9"/>
      <c r="D143" s="3"/>
      <c r="E143" s="3"/>
      <c r="F143" s="3"/>
      <c r="G143" s="53"/>
      <c r="H143" s="53"/>
      <c r="I143" s="53"/>
      <c r="J143" s="54"/>
      <c r="K143" s="53"/>
      <c r="L143" s="53"/>
      <c r="M143" s="53"/>
      <c r="N143" s="53"/>
      <c r="O143" s="53"/>
      <c r="P143" s="54"/>
      <c r="Q143" s="53"/>
      <c r="R143" s="53"/>
    </row>
    <row r="144" spans="1:18">
      <c r="A144" s="53"/>
      <c r="B144" s="3"/>
      <c r="C144" s="9"/>
      <c r="D144" s="3"/>
      <c r="E144" s="3"/>
      <c r="F144" s="3"/>
      <c r="G144" s="53"/>
      <c r="H144" s="53"/>
      <c r="I144" s="53"/>
      <c r="J144" s="54"/>
      <c r="K144" s="53"/>
      <c r="L144" s="53"/>
      <c r="M144" s="53"/>
      <c r="N144" s="53"/>
      <c r="O144" s="53"/>
      <c r="P144" s="54"/>
      <c r="Q144" s="53"/>
      <c r="R144" s="53"/>
    </row>
    <row r="145" spans="1:18">
      <c r="A145" s="53"/>
      <c r="B145" s="3"/>
      <c r="C145" s="9"/>
      <c r="D145" s="3"/>
      <c r="E145" s="3"/>
      <c r="F145" s="3"/>
      <c r="G145" s="53"/>
      <c r="H145" s="53"/>
      <c r="I145" s="53"/>
      <c r="J145" s="54"/>
      <c r="K145" s="53"/>
      <c r="L145" s="53"/>
      <c r="M145" s="53"/>
      <c r="N145" s="53"/>
      <c r="O145" s="53"/>
      <c r="P145" s="54"/>
      <c r="Q145" s="53"/>
      <c r="R145" s="53"/>
    </row>
    <row r="146" spans="1:18">
      <c r="A146" s="53"/>
      <c r="B146" s="3"/>
      <c r="C146" s="9"/>
      <c r="D146" s="3"/>
      <c r="E146" s="3"/>
      <c r="F146" s="3"/>
      <c r="G146" s="53"/>
      <c r="H146" s="53"/>
      <c r="I146" s="53"/>
      <c r="J146" s="54"/>
      <c r="K146" s="53"/>
      <c r="L146" s="53"/>
      <c r="M146" s="53"/>
      <c r="N146" s="53"/>
      <c r="O146" s="53"/>
      <c r="P146" s="54"/>
      <c r="Q146" s="53"/>
      <c r="R146" s="53"/>
    </row>
    <row r="147" spans="1:18">
      <c r="A147" s="53"/>
      <c r="B147" s="3"/>
      <c r="C147" s="9"/>
      <c r="D147" s="3"/>
      <c r="E147" s="3"/>
      <c r="F147" s="3"/>
      <c r="G147" s="53"/>
      <c r="H147" s="53"/>
      <c r="I147" s="53"/>
      <c r="J147" s="54"/>
      <c r="K147" s="53"/>
      <c r="L147" s="53"/>
      <c r="M147" s="53"/>
      <c r="N147" s="53"/>
      <c r="O147" s="53"/>
      <c r="P147" s="54"/>
      <c r="Q147" s="53"/>
      <c r="R147" s="53"/>
    </row>
    <row r="148" spans="1:18">
      <c r="A148" s="53"/>
      <c r="B148" s="3"/>
      <c r="C148" s="9"/>
      <c r="D148" s="3"/>
      <c r="E148" s="3"/>
      <c r="F148" s="3"/>
      <c r="G148" s="53"/>
      <c r="H148" s="53"/>
      <c r="I148" s="53"/>
      <c r="J148" s="54"/>
      <c r="K148" s="53"/>
      <c r="L148" s="53"/>
      <c r="M148" s="53"/>
      <c r="N148" s="53"/>
      <c r="O148" s="53"/>
      <c r="P148" s="54"/>
      <c r="Q148" s="53"/>
      <c r="R148" s="53"/>
    </row>
    <row r="149" spans="1:18">
      <c r="A149" s="53"/>
      <c r="B149" s="3"/>
      <c r="C149" s="9"/>
      <c r="D149" s="3"/>
      <c r="E149" s="3"/>
      <c r="F149" s="3"/>
      <c r="G149" s="53"/>
      <c r="H149" s="53"/>
      <c r="I149" s="53"/>
      <c r="J149" s="54"/>
      <c r="K149" s="53"/>
      <c r="L149" s="53"/>
      <c r="M149" s="53"/>
      <c r="N149" s="53"/>
      <c r="O149" s="53"/>
      <c r="P149" s="54"/>
      <c r="Q149" s="53"/>
      <c r="R149" s="53"/>
    </row>
    <row r="150" spans="1:18">
      <c r="A150" s="53"/>
      <c r="B150" s="3"/>
      <c r="C150" s="9"/>
      <c r="D150" s="3"/>
      <c r="E150" s="3"/>
      <c r="F150" s="3"/>
      <c r="G150" s="53"/>
      <c r="H150" s="53"/>
      <c r="I150" s="53"/>
      <c r="J150" s="54"/>
      <c r="K150" s="53"/>
      <c r="L150" s="53"/>
      <c r="M150" s="53"/>
      <c r="N150" s="53"/>
      <c r="O150" s="53"/>
      <c r="P150" s="54"/>
      <c r="Q150" s="53"/>
      <c r="R150" s="53"/>
    </row>
    <row r="151" spans="1:18">
      <c r="A151" s="53"/>
      <c r="B151" s="3"/>
      <c r="C151" s="9"/>
      <c r="D151" s="3"/>
      <c r="E151" s="3"/>
      <c r="F151" s="3"/>
      <c r="G151" s="53"/>
      <c r="H151" s="53"/>
      <c r="I151" s="53"/>
      <c r="J151" s="54"/>
      <c r="K151" s="53"/>
      <c r="L151" s="53"/>
      <c r="M151" s="53"/>
      <c r="N151" s="53"/>
      <c r="O151" s="53"/>
      <c r="P151" s="54"/>
      <c r="Q151" s="53"/>
      <c r="R151" s="53"/>
    </row>
    <row r="152" spans="1:18">
      <c r="A152" s="53"/>
      <c r="B152" s="3"/>
      <c r="C152" s="9"/>
      <c r="D152" s="3"/>
      <c r="E152" s="3"/>
      <c r="F152" s="3"/>
      <c r="G152" s="53"/>
      <c r="H152" s="53"/>
      <c r="I152" s="53"/>
      <c r="J152" s="54"/>
      <c r="K152" s="53"/>
      <c r="L152" s="53"/>
      <c r="M152" s="53"/>
      <c r="N152" s="53"/>
      <c r="O152" s="53"/>
      <c r="P152" s="54"/>
      <c r="Q152" s="53"/>
      <c r="R152" s="53"/>
    </row>
    <row r="153" spans="1:18">
      <c r="A153" s="53"/>
      <c r="B153" s="3"/>
      <c r="C153" s="9"/>
      <c r="D153" s="3"/>
      <c r="E153" s="3"/>
      <c r="F153" s="3"/>
      <c r="G153" s="53"/>
      <c r="H153" s="53"/>
      <c r="I153" s="53"/>
      <c r="J153" s="54"/>
      <c r="K153" s="53"/>
      <c r="L153" s="53"/>
      <c r="M153" s="53"/>
      <c r="N153" s="53"/>
      <c r="O153" s="53"/>
      <c r="P153" s="54"/>
      <c r="Q153" s="53"/>
      <c r="R153" s="53"/>
    </row>
    <row r="154" spans="1:18">
      <c r="A154" s="53"/>
      <c r="B154" s="3"/>
      <c r="C154" s="9"/>
      <c r="D154" s="3"/>
      <c r="E154" s="3"/>
      <c r="F154" s="3"/>
      <c r="G154" s="53"/>
      <c r="H154" s="53"/>
      <c r="I154" s="53"/>
      <c r="J154" s="54"/>
      <c r="K154" s="53"/>
      <c r="L154" s="53"/>
      <c r="M154" s="53"/>
      <c r="N154" s="53"/>
      <c r="O154" s="53"/>
      <c r="P154" s="54"/>
      <c r="Q154" s="53"/>
      <c r="R154" s="53"/>
    </row>
    <row r="155" spans="1:18">
      <c r="A155" s="53"/>
      <c r="B155" s="3"/>
      <c r="C155" s="9"/>
      <c r="D155" s="3"/>
      <c r="E155" s="3"/>
      <c r="F155" s="3"/>
      <c r="G155" s="53"/>
      <c r="H155" s="53"/>
      <c r="I155" s="53"/>
      <c r="J155" s="54"/>
      <c r="K155" s="53"/>
      <c r="L155" s="53"/>
      <c r="M155" s="53"/>
      <c r="N155" s="53"/>
      <c r="O155" s="53"/>
      <c r="P155" s="54"/>
      <c r="Q155" s="53"/>
      <c r="R155" s="53"/>
    </row>
    <row r="156" spans="1:18">
      <c r="A156" s="53"/>
      <c r="B156" s="3"/>
      <c r="C156" s="9"/>
      <c r="D156" s="3"/>
      <c r="E156" s="3"/>
      <c r="F156" s="3"/>
      <c r="G156" s="53"/>
      <c r="H156" s="53"/>
      <c r="I156" s="53"/>
      <c r="J156" s="54"/>
      <c r="K156" s="53"/>
      <c r="L156" s="53"/>
      <c r="M156" s="53"/>
      <c r="N156" s="53"/>
      <c r="O156" s="53"/>
      <c r="P156" s="54"/>
      <c r="Q156" s="53"/>
      <c r="R156" s="53"/>
    </row>
    <row r="157" spans="1:18">
      <c r="A157" s="53"/>
      <c r="B157" s="3"/>
      <c r="C157" s="9"/>
      <c r="D157" s="3"/>
      <c r="E157" s="3"/>
      <c r="F157" s="3"/>
      <c r="G157" s="53"/>
      <c r="H157" s="53"/>
      <c r="I157" s="53"/>
      <c r="J157" s="54"/>
      <c r="K157" s="53"/>
      <c r="L157" s="53"/>
      <c r="M157" s="53"/>
      <c r="N157" s="53"/>
      <c r="O157" s="53"/>
      <c r="P157" s="54"/>
      <c r="Q157" s="53"/>
      <c r="R157" s="53"/>
    </row>
    <row r="158" spans="1:18">
      <c r="A158" s="53"/>
      <c r="B158" s="3"/>
      <c r="C158" s="9"/>
      <c r="D158" s="3"/>
      <c r="E158" s="3"/>
      <c r="F158" s="3"/>
      <c r="G158" s="53"/>
      <c r="H158" s="53"/>
      <c r="I158" s="53"/>
      <c r="J158" s="54"/>
      <c r="K158" s="53"/>
      <c r="L158" s="53"/>
      <c r="M158" s="53"/>
      <c r="N158" s="53"/>
      <c r="O158" s="53"/>
      <c r="P158" s="54"/>
      <c r="Q158" s="53"/>
      <c r="R158" s="53"/>
    </row>
    <row r="159" spans="1:18">
      <c r="A159" s="53"/>
      <c r="B159" s="3"/>
      <c r="C159" s="9"/>
      <c r="D159" s="3"/>
      <c r="E159" s="3"/>
      <c r="F159" s="3"/>
      <c r="G159" s="53"/>
      <c r="H159" s="53"/>
      <c r="I159" s="53"/>
      <c r="J159" s="54"/>
      <c r="K159" s="53"/>
      <c r="L159" s="53"/>
      <c r="M159" s="53"/>
      <c r="N159" s="53"/>
      <c r="O159" s="53"/>
      <c r="P159" s="54"/>
      <c r="Q159" s="53"/>
      <c r="R159" s="53"/>
    </row>
    <row r="160" spans="1:18">
      <c r="A160" s="53"/>
      <c r="B160" s="3"/>
      <c r="C160" s="9"/>
      <c r="D160" s="3"/>
      <c r="E160" s="3"/>
      <c r="F160" s="3"/>
      <c r="G160" s="53"/>
      <c r="H160" s="53"/>
      <c r="I160" s="53"/>
      <c r="J160" s="54"/>
      <c r="K160" s="53"/>
      <c r="L160" s="53"/>
      <c r="M160" s="53"/>
      <c r="N160" s="53"/>
      <c r="O160" s="53"/>
      <c r="P160" s="54"/>
      <c r="Q160" s="53"/>
      <c r="R160" s="53"/>
    </row>
    <row r="161" spans="1:18">
      <c r="A161" s="53"/>
      <c r="B161" s="3"/>
      <c r="C161" s="9"/>
      <c r="D161" s="3"/>
      <c r="E161" s="3"/>
      <c r="F161" s="3"/>
      <c r="G161" s="53"/>
      <c r="H161" s="53"/>
      <c r="I161" s="53"/>
      <c r="J161" s="54"/>
      <c r="K161" s="53"/>
      <c r="L161" s="53"/>
      <c r="M161" s="53"/>
      <c r="N161" s="53"/>
      <c r="O161" s="53"/>
      <c r="P161" s="54"/>
      <c r="Q161" s="53"/>
      <c r="R161" s="53"/>
    </row>
    <row r="162" spans="1:18">
      <c r="A162" s="53"/>
      <c r="B162" s="3"/>
      <c r="C162" s="9"/>
      <c r="D162" s="3"/>
      <c r="E162" s="3"/>
      <c r="F162" s="3"/>
      <c r="G162" s="53"/>
      <c r="H162" s="53"/>
      <c r="I162" s="53"/>
      <c r="J162" s="54"/>
      <c r="K162" s="53"/>
      <c r="L162" s="53"/>
      <c r="M162" s="53"/>
      <c r="N162" s="53"/>
      <c r="O162" s="53"/>
      <c r="P162" s="54"/>
      <c r="Q162" s="53"/>
      <c r="R162" s="53"/>
    </row>
    <row r="163" spans="1:18">
      <c r="A163" s="53"/>
      <c r="B163" s="3"/>
      <c r="C163" s="9"/>
      <c r="D163" s="3"/>
      <c r="E163" s="3"/>
      <c r="F163" s="3"/>
      <c r="G163" s="53"/>
      <c r="H163" s="53"/>
      <c r="I163" s="53"/>
      <c r="J163" s="54"/>
      <c r="K163" s="53"/>
      <c r="L163" s="53"/>
      <c r="M163" s="53"/>
      <c r="N163" s="53"/>
      <c r="O163" s="53"/>
      <c r="P163" s="54"/>
      <c r="Q163" s="53"/>
      <c r="R163" s="53"/>
    </row>
    <row r="164" spans="1:18">
      <c r="A164" s="53"/>
      <c r="B164" s="3"/>
      <c r="C164" s="9"/>
      <c r="D164" s="3"/>
      <c r="E164" s="3"/>
      <c r="F164" s="3"/>
      <c r="G164" s="53"/>
      <c r="H164" s="53"/>
      <c r="I164" s="53"/>
      <c r="J164" s="54"/>
      <c r="K164" s="53"/>
      <c r="L164" s="53"/>
      <c r="M164" s="53"/>
      <c r="N164" s="53"/>
      <c r="O164" s="53"/>
      <c r="P164" s="54"/>
      <c r="Q164" s="53"/>
      <c r="R164" s="53"/>
    </row>
    <row r="165" spans="1:18">
      <c r="A165" s="53"/>
      <c r="B165" s="3"/>
      <c r="C165" s="9"/>
      <c r="D165" s="3"/>
      <c r="E165" s="3"/>
      <c r="F165" s="3"/>
      <c r="G165" s="53"/>
      <c r="H165" s="53"/>
      <c r="I165" s="53"/>
      <c r="J165" s="54"/>
      <c r="K165" s="53"/>
      <c r="L165" s="53"/>
      <c r="M165" s="53"/>
      <c r="N165" s="53"/>
      <c r="O165" s="53"/>
      <c r="P165" s="54"/>
      <c r="Q165" s="53"/>
      <c r="R165" s="53"/>
    </row>
    <row r="166" spans="1:18">
      <c r="A166" s="53"/>
      <c r="B166" s="3"/>
      <c r="C166" s="9"/>
      <c r="D166" s="3"/>
      <c r="E166" s="3"/>
      <c r="F166" s="3"/>
      <c r="G166" s="53"/>
      <c r="H166" s="53"/>
      <c r="I166" s="53"/>
      <c r="J166" s="54"/>
      <c r="K166" s="53"/>
      <c r="L166" s="53"/>
      <c r="M166" s="53"/>
      <c r="N166" s="53"/>
      <c r="O166" s="53"/>
      <c r="P166" s="54"/>
      <c r="Q166" s="53"/>
      <c r="R166" s="53"/>
    </row>
    <row r="167" spans="1:18">
      <c r="A167" s="53"/>
      <c r="B167" s="3"/>
      <c r="C167" s="9"/>
      <c r="D167" s="3"/>
      <c r="E167" s="3"/>
      <c r="F167" s="3"/>
      <c r="G167" s="53"/>
      <c r="H167" s="53"/>
      <c r="I167" s="53"/>
      <c r="J167" s="54"/>
      <c r="K167" s="53"/>
      <c r="L167" s="53"/>
      <c r="M167" s="53"/>
      <c r="N167" s="53"/>
      <c r="O167" s="53"/>
      <c r="P167" s="54"/>
      <c r="Q167" s="53"/>
      <c r="R167" s="53"/>
    </row>
    <row r="168" spans="1:18">
      <c r="A168" s="53"/>
      <c r="B168" s="3"/>
      <c r="C168" s="9"/>
      <c r="D168" s="3"/>
      <c r="E168" s="3"/>
      <c r="F168" s="3"/>
      <c r="G168" s="53"/>
      <c r="H168" s="53"/>
      <c r="I168" s="53"/>
      <c r="J168" s="54"/>
      <c r="K168" s="53"/>
      <c r="L168" s="53"/>
      <c r="M168" s="53"/>
      <c r="N168" s="53"/>
      <c r="O168" s="53"/>
      <c r="P168" s="54"/>
      <c r="Q168" s="53"/>
      <c r="R168" s="53"/>
    </row>
    <row r="169" spans="1:18">
      <c r="A169" s="53"/>
      <c r="B169" s="3"/>
      <c r="C169" s="9"/>
      <c r="D169" s="3"/>
      <c r="E169" s="3"/>
      <c r="F169" s="3"/>
      <c r="G169" s="53"/>
      <c r="H169" s="53"/>
      <c r="I169" s="53"/>
      <c r="J169" s="54"/>
      <c r="K169" s="53"/>
      <c r="L169" s="53"/>
      <c r="M169" s="53"/>
      <c r="N169" s="53"/>
      <c r="O169" s="53"/>
      <c r="P169" s="54"/>
      <c r="Q169" s="53"/>
      <c r="R169" s="53"/>
    </row>
    <row r="170" spans="1:18">
      <c r="A170" s="53"/>
      <c r="B170" s="3"/>
      <c r="C170" s="9"/>
      <c r="D170" s="3"/>
      <c r="E170" s="3"/>
      <c r="F170" s="3"/>
      <c r="G170" s="53"/>
      <c r="H170" s="53"/>
      <c r="I170" s="53"/>
      <c r="J170" s="54"/>
      <c r="K170" s="53"/>
      <c r="L170" s="53"/>
      <c r="M170" s="53"/>
      <c r="N170" s="53"/>
      <c r="O170" s="53"/>
      <c r="P170" s="54"/>
      <c r="Q170" s="53"/>
      <c r="R170" s="53"/>
    </row>
    <row r="171" spans="1:18">
      <c r="A171" s="53"/>
      <c r="B171" s="3"/>
      <c r="C171" s="9"/>
      <c r="D171" s="3"/>
      <c r="E171" s="3"/>
      <c r="F171" s="3"/>
      <c r="G171" s="53"/>
      <c r="H171" s="53"/>
      <c r="I171" s="53"/>
      <c r="J171" s="54"/>
      <c r="K171" s="53"/>
      <c r="L171" s="53"/>
      <c r="M171" s="53"/>
      <c r="N171" s="53"/>
      <c r="O171" s="53"/>
      <c r="P171" s="54"/>
      <c r="Q171" s="53"/>
      <c r="R171" s="53"/>
    </row>
    <row r="172" spans="1:18">
      <c r="A172" s="53"/>
      <c r="B172" s="3"/>
      <c r="C172" s="9"/>
      <c r="D172" s="3"/>
      <c r="E172" s="3"/>
      <c r="F172" s="3"/>
      <c r="G172" s="53"/>
      <c r="H172" s="53"/>
      <c r="I172" s="53"/>
      <c r="J172" s="54"/>
      <c r="K172" s="53"/>
      <c r="L172" s="53"/>
      <c r="M172" s="53"/>
      <c r="N172" s="53"/>
      <c r="O172" s="53"/>
      <c r="P172" s="54"/>
      <c r="Q172" s="53"/>
      <c r="R172" s="53"/>
    </row>
    <row r="173" spans="1:18">
      <c r="A173" s="53"/>
      <c r="B173" s="3"/>
      <c r="C173" s="9"/>
      <c r="D173" s="3"/>
      <c r="E173" s="3"/>
      <c r="F173" s="3"/>
      <c r="G173" s="53"/>
      <c r="H173" s="53"/>
      <c r="I173" s="53"/>
      <c r="J173" s="54"/>
      <c r="K173" s="53"/>
      <c r="L173" s="53"/>
      <c r="M173" s="53"/>
      <c r="N173" s="53"/>
      <c r="O173" s="53"/>
      <c r="P173" s="54"/>
      <c r="Q173" s="53"/>
      <c r="R173" s="53"/>
    </row>
    <row r="174" spans="1:18">
      <c r="A174" s="53"/>
      <c r="B174" s="3"/>
      <c r="C174" s="9"/>
      <c r="D174" s="3"/>
      <c r="E174" s="3"/>
      <c r="F174" s="3"/>
      <c r="G174" s="53"/>
      <c r="H174" s="53"/>
      <c r="I174" s="53"/>
      <c r="J174" s="54"/>
      <c r="K174" s="53"/>
      <c r="L174" s="53"/>
      <c r="M174" s="53"/>
      <c r="N174" s="53"/>
      <c r="O174" s="53"/>
      <c r="P174" s="54"/>
      <c r="Q174" s="53"/>
      <c r="R174" s="53"/>
    </row>
    <row r="175" spans="1:18">
      <c r="A175" s="53"/>
      <c r="B175" s="3"/>
      <c r="C175" s="9"/>
      <c r="D175" s="3"/>
      <c r="E175" s="3"/>
      <c r="F175" s="3"/>
      <c r="G175" s="53"/>
      <c r="H175" s="53"/>
      <c r="I175" s="53"/>
      <c r="J175" s="54"/>
      <c r="K175" s="53"/>
      <c r="L175" s="53"/>
      <c r="M175" s="53"/>
      <c r="N175" s="53"/>
      <c r="O175" s="53"/>
      <c r="P175" s="54"/>
      <c r="Q175" s="53"/>
      <c r="R175" s="53"/>
    </row>
    <row r="176" spans="1:18">
      <c r="A176" s="53"/>
      <c r="B176" s="3"/>
      <c r="C176" s="9"/>
      <c r="D176" s="3"/>
      <c r="E176" s="3"/>
      <c r="F176" s="3"/>
      <c r="G176" s="53"/>
      <c r="H176" s="53"/>
      <c r="I176" s="53"/>
      <c r="J176" s="54"/>
      <c r="K176" s="53"/>
      <c r="L176" s="53"/>
      <c r="M176" s="53"/>
      <c r="N176" s="53"/>
      <c r="O176" s="53"/>
      <c r="P176" s="54"/>
      <c r="Q176" s="53"/>
      <c r="R176" s="53"/>
    </row>
    <row r="177" spans="1:18">
      <c r="A177" s="53"/>
      <c r="B177" s="3"/>
      <c r="C177" s="9"/>
      <c r="D177" s="3"/>
      <c r="E177" s="3"/>
      <c r="F177" s="3"/>
      <c r="G177" s="53"/>
      <c r="H177" s="53"/>
      <c r="I177" s="53"/>
      <c r="J177" s="54"/>
      <c r="K177" s="53"/>
      <c r="L177" s="53"/>
      <c r="M177" s="53"/>
      <c r="N177" s="53"/>
      <c r="O177" s="53"/>
      <c r="P177" s="54"/>
      <c r="Q177" s="53"/>
      <c r="R177" s="53"/>
    </row>
    <row r="178" spans="1:18">
      <c r="A178" s="53"/>
      <c r="B178" s="3"/>
      <c r="C178" s="9"/>
      <c r="D178" s="3"/>
      <c r="E178" s="3"/>
      <c r="F178" s="3"/>
      <c r="G178" s="53"/>
      <c r="H178" s="53"/>
      <c r="I178" s="53"/>
      <c r="J178" s="54"/>
      <c r="K178" s="53"/>
      <c r="L178" s="53"/>
      <c r="M178" s="53"/>
      <c r="N178" s="53"/>
      <c r="O178" s="53"/>
      <c r="P178" s="54"/>
      <c r="Q178" s="53"/>
      <c r="R178" s="53"/>
    </row>
    <row r="179" spans="1:18">
      <c r="A179" s="53"/>
      <c r="B179" s="3"/>
      <c r="C179" s="9"/>
      <c r="D179" s="3"/>
      <c r="E179" s="3"/>
      <c r="F179" s="3"/>
      <c r="G179" s="53"/>
      <c r="H179" s="53"/>
      <c r="I179" s="53"/>
      <c r="J179" s="54"/>
      <c r="K179" s="53"/>
      <c r="L179" s="53"/>
      <c r="M179" s="53"/>
      <c r="N179" s="53"/>
      <c r="O179" s="53"/>
      <c r="P179" s="54"/>
      <c r="Q179" s="53"/>
      <c r="R179" s="53"/>
    </row>
    <row r="180" spans="1:18">
      <c r="A180" s="53"/>
      <c r="B180" s="3"/>
      <c r="C180" s="9"/>
      <c r="D180" s="3"/>
      <c r="E180" s="3"/>
      <c r="F180" s="3"/>
      <c r="G180" s="53"/>
      <c r="H180" s="53"/>
      <c r="I180" s="53"/>
      <c r="J180" s="54"/>
      <c r="K180" s="53"/>
      <c r="L180" s="53"/>
      <c r="M180" s="53"/>
      <c r="N180" s="53"/>
      <c r="O180" s="53"/>
      <c r="P180" s="54"/>
      <c r="Q180" s="53"/>
      <c r="R180" s="53"/>
    </row>
    <row r="181" spans="1:18">
      <c r="A181" s="53"/>
      <c r="B181" s="3"/>
      <c r="C181" s="9"/>
      <c r="D181" s="3"/>
      <c r="E181" s="3"/>
      <c r="F181" s="3"/>
      <c r="G181" s="53"/>
      <c r="H181" s="53"/>
      <c r="I181" s="53"/>
      <c r="J181" s="54"/>
      <c r="K181" s="53"/>
      <c r="L181" s="53"/>
      <c r="M181" s="53"/>
      <c r="N181" s="53"/>
      <c r="O181" s="53"/>
      <c r="P181" s="54"/>
      <c r="Q181" s="53"/>
      <c r="R181" s="53"/>
    </row>
    <row r="182" spans="1:18">
      <c r="A182" s="53"/>
      <c r="B182" s="3"/>
      <c r="C182" s="9"/>
      <c r="D182" s="3"/>
      <c r="E182" s="3"/>
      <c r="F182" s="3"/>
      <c r="G182" s="53"/>
      <c r="H182" s="53"/>
      <c r="I182" s="53"/>
      <c r="J182" s="54"/>
      <c r="K182" s="53"/>
      <c r="L182" s="53"/>
      <c r="M182" s="53"/>
      <c r="N182" s="53"/>
      <c r="O182" s="53"/>
      <c r="P182" s="54"/>
      <c r="Q182" s="53"/>
      <c r="R182" s="53"/>
    </row>
    <row r="183" spans="1:18">
      <c r="A183" s="53"/>
      <c r="B183" s="3"/>
      <c r="C183" s="9"/>
      <c r="D183" s="3"/>
      <c r="E183" s="3"/>
      <c r="F183" s="3"/>
      <c r="G183" s="53"/>
      <c r="H183" s="53"/>
      <c r="I183" s="53"/>
      <c r="J183" s="54"/>
      <c r="K183" s="53"/>
      <c r="L183" s="53"/>
      <c r="M183" s="53"/>
      <c r="N183" s="53"/>
      <c r="O183" s="53"/>
      <c r="P183" s="54"/>
      <c r="Q183" s="53"/>
      <c r="R183" s="53"/>
    </row>
    <row r="184" spans="1:18">
      <c r="A184" s="53"/>
      <c r="B184" s="3"/>
      <c r="C184" s="9"/>
      <c r="D184" s="3"/>
      <c r="E184" s="3"/>
      <c r="F184" s="3"/>
      <c r="G184" s="53"/>
      <c r="H184" s="53"/>
      <c r="I184" s="53"/>
      <c r="J184" s="54"/>
      <c r="K184" s="53"/>
      <c r="L184" s="53"/>
      <c r="M184" s="53"/>
      <c r="N184" s="53"/>
      <c r="O184" s="53"/>
      <c r="P184" s="54"/>
      <c r="Q184" s="53"/>
      <c r="R184" s="53"/>
    </row>
    <row r="185" spans="1:18">
      <c r="A185" s="53"/>
      <c r="B185" s="3"/>
      <c r="C185" s="9"/>
      <c r="D185" s="3"/>
      <c r="E185" s="3"/>
      <c r="F185" s="3"/>
      <c r="G185" s="53"/>
      <c r="H185" s="53"/>
      <c r="I185" s="53"/>
      <c r="J185" s="54"/>
      <c r="K185" s="53"/>
      <c r="L185" s="53"/>
      <c r="M185" s="53"/>
      <c r="N185" s="53"/>
      <c r="O185" s="53"/>
      <c r="P185" s="54"/>
      <c r="Q185" s="53"/>
      <c r="R185" s="53"/>
    </row>
    <row r="186" spans="1:18">
      <c r="A186" s="53"/>
      <c r="B186" s="3"/>
      <c r="C186" s="9"/>
      <c r="D186" s="3"/>
      <c r="E186" s="3"/>
      <c r="F186" s="3"/>
      <c r="G186" s="53"/>
      <c r="H186" s="53"/>
      <c r="I186" s="53"/>
      <c r="J186" s="54"/>
      <c r="K186" s="53"/>
      <c r="L186" s="53"/>
      <c r="M186" s="53"/>
      <c r="N186" s="53"/>
      <c r="O186" s="53"/>
      <c r="P186" s="54"/>
      <c r="Q186" s="53"/>
      <c r="R186" s="53"/>
    </row>
    <row r="187" spans="1:18">
      <c r="A187" s="53"/>
      <c r="B187" s="3"/>
      <c r="C187" s="9"/>
      <c r="D187" s="3"/>
      <c r="E187" s="3"/>
      <c r="F187" s="3"/>
      <c r="G187" s="53"/>
      <c r="H187" s="53"/>
      <c r="I187" s="53"/>
      <c r="J187" s="54"/>
      <c r="K187" s="53"/>
      <c r="L187" s="53"/>
      <c r="M187" s="53"/>
      <c r="N187" s="53"/>
      <c r="O187" s="53"/>
      <c r="P187" s="54"/>
      <c r="Q187" s="53"/>
      <c r="R187" s="53"/>
    </row>
    <row r="188" spans="1:18">
      <c r="A188" s="53"/>
      <c r="B188" s="3"/>
      <c r="C188" s="9"/>
      <c r="D188" s="3"/>
      <c r="E188" s="3"/>
      <c r="F188" s="3"/>
      <c r="G188" s="53"/>
      <c r="H188" s="53"/>
      <c r="I188" s="53"/>
      <c r="J188" s="54"/>
      <c r="K188" s="53"/>
      <c r="L188" s="53"/>
      <c r="M188" s="53"/>
      <c r="N188" s="53"/>
      <c r="O188" s="53"/>
      <c r="P188" s="54"/>
      <c r="Q188" s="53"/>
      <c r="R188" s="53"/>
    </row>
    <row r="189" spans="1:18">
      <c r="A189" s="53"/>
      <c r="B189" s="3"/>
      <c r="C189" s="9"/>
      <c r="D189" s="3"/>
      <c r="E189" s="3"/>
      <c r="F189" s="3"/>
      <c r="G189" s="53"/>
      <c r="H189" s="53"/>
      <c r="I189" s="53"/>
      <c r="J189" s="54"/>
      <c r="K189" s="53"/>
      <c r="L189" s="53"/>
      <c r="M189" s="53"/>
      <c r="N189" s="53"/>
      <c r="O189" s="53"/>
      <c r="P189" s="54"/>
      <c r="Q189" s="53"/>
      <c r="R189" s="53"/>
    </row>
    <row r="190" spans="1:18">
      <c r="A190" s="53"/>
      <c r="B190" s="3"/>
      <c r="C190" s="9"/>
      <c r="D190" s="3"/>
      <c r="E190" s="3"/>
      <c r="F190" s="3"/>
      <c r="G190" s="53"/>
      <c r="H190" s="53"/>
      <c r="I190" s="53"/>
      <c r="J190" s="54"/>
      <c r="K190" s="53"/>
      <c r="L190" s="53"/>
      <c r="M190" s="53"/>
      <c r="N190" s="53"/>
      <c r="O190" s="53"/>
      <c r="P190" s="54"/>
      <c r="Q190" s="53"/>
      <c r="R190" s="53"/>
    </row>
    <row r="191" spans="1:18">
      <c r="A191" s="53"/>
      <c r="B191" s="3"/>
      <c r="C191" s="9"/>
      <c r="D191" s="3"/>
      <c r="E191" s="3"/>
      <c r="F191" s="3"/>
      <c r="G191" s="53"/>
      <c r="H191" s="53"/>
      <c r="I191" s="53"/>
      <c r="J191" s="54"/>
      <c r="K191" s="53"/>
      <c r="L191" s="53"/>
      <c r="M191" s="53"/>
      <c r="N191" s="53"/>
      <c r="O191" s="53"/>
      <c r="P191" s="54"/>
      <c r="Q191" s="53"/>
      <c r="R191" s="53"/>
    </row>
    <row r="192" spans="1:18">
      <c r="A192" s="53"/>
      <c r="B192" s="3"/>
      <c r="C192" s="9"/>
      <c r="D192" s="3"/>
      <c r="E192" s="3"/>
      <c r="F192" s="3"/>
      <c r="G192" s="53"/>
      <c r="H192" s="53"/>
      <c r="I192" s="53"/>
      <c r="J192" s="54"/>
      <c r="K192" s="53"/>
      <c r="L192" s="53"/>
      <c r="M192" s="53"/>
      <c r="N192" s="53"/>
      <c r="O192" s="53"/>
      <c r="P192" s="54"/>
      <c r="Q192" s="53"/>
      <c r="R192" s="53"/>
    </row>
    <row r="193" spans="1:18">
      <c r="A193" s="53"/>
      <c r="B193" s="3"/>
      <c r="C193" s="9"/>
      <c r="D193" s="3"/>
      <c r="E193" s="3"/>
      <c r="F193" s="3"/>
      <c r="G193" s="53"/>
      <c r="H193" s="53"/>
      <c r="I193" s="53"/>
      <c r="J193" s="54"/>
      <c r="K193" s="53"/>
      <c r="L193" s="53"/>
      <c r="M193" s="53"/>
      <c r="N193" s="53"/>
      <c r="O193" s="53"/>
      <c r="P193" s="54"/>
      <c r="Q193" s="53"/>
      <c r="R193" s="53"/>
    </row>
    <row r="194" spans="1:18">
      <c r="A194" s="53"/>
      <c r="B194" s="3"/>
      <c r="C194" s="9"/>
      <c r="D194" s="3"/>
      <c r="E194" s="3"/>
      <c r="F194" s="3"/>
      <c r="G194" s="53"/>
      <c r="H194" s="53"/>
      <c r="I194" s="53"/>
      <c r="J194" s="54"/>
      <c r="K194" s="53"/>
      <c r="L194" s="53"/>
      <c r="M194" s="53"/>
      <c r="N194" s="53"/>
      <c r="O194" s="53"/>
      <c r="P194" s="54"/>
      <c r="Q194" s="53"/>
      <c r="R194" s="53"/>
    </row>
    <row r="195" spans="1:18">
      <c r="A195" s="53"/>
      <c r="B195" s="3"/>
      <c r="C195" s="9"/>
      <c r="D195" s="3"/>
      <c r="E195" s="3"/>
      <c r="F195" s="3"/>
      <c r="G195" s="53"/>
      <c r="H195" s="53"/>
      <c r="I195" s="53"/>
      <c r="J195" s="54"/>
      <c r="K195" s="53"/>
      <c r="L195" s="53"/>
      <c r="M195" s="53"/>
      <c r="N195" s="53"/>
      <c r="O195" s="53"/>
      <c r="P195" s="54"/>
      <c r="Q195" s="53"/>
      <c r="R195" s="53"/>
    </row>
    <row r="196" spans="1:18">
      <c r="A196" s="53"/>
      <c r="B196" s="3"/>
      <c r="C196" s="9"/>
      <c r="D196" s="3"/>
      <c r="E196" s="3"/>
      <c r="F196" s="3"/>
      <c r="G196" s="53"/>
      <c r="H196" s="53"/>
      <c r="I196" s="53"/>
      <c r="J196" s="54"/>
      <c r="K196" s="53"/>
      <c r="L196" s="53"/>
      <c r="M196" s="53"/>
      <c r="N196" s="53"/>
      <c r="O196" s="53"/>
      <c r="P196" s="54"/>
      <c r="Q196" s="53"/>
      <c r="R196" s="53"/>
    </row>
    <row r="197" spans="1:18">
      <c r="A197" s="53"/>
      <c r="B197" s="3"/>
      <c r="C197" s="9"/>
      <c r="D197" s="3"/>
      <c r="E197" s="3"/>
      <c r="F197" s="3"/>
      <c r="G197" s="53"/>
      <c r="H197" s="53"/>
      <c r="I197" s="53"/>
      <c r="J197" s="54"/>
      <c r="K197" s="53"/>
      <c r="L197" s="53"/>
      <c r="M197" s="53"/>
      <c r="N197" s="53"/>
      <c r="O197" s="53"/>
      <c r="P197" s="54"/>
      <c r="Q197" s="53"/>
      <c r="R197" s="53"/>
    </row>
    <row r="198" spans="1:18">
      <c r="A198" s="53"/>
      <c r="B198" s="3"/>
      <c r="C198" s="9"/>
      <c r="D198" s="3"/>
      <c r="E198" s="3"/>
      <c r="F198" s="3"/>
      <c r="G198" s="53"/>
      <c r="H198" s="53"/>
      <c r="I198" s="53"/>
      <c r="J198" s="54"/>
      <c r="K198" s="53"/>
      <c r="L198" s="53"/>
      <c r="M198" s="53"/>
      <c r="N198" s="53"/>
      <c r="O198" s="53"/>
      <c r="P198" s="54"/>
      <c r="Q198" s="53"/>
      <c r="R198" s="53"/>
    </row>
    <row r="199" spans="1:18">
      <c r="A199" s="53"/>
      <c r="B199" s="3"/>
      <c r="C199" s="9"/>
      <c r="D199" s="3"/>
      <c r="E199" s="3"/>
      <c r="F199" s="3"/>
      <c r="G199" s="53"/>
      <c r="H199" s="53"/>
      <c r="I199" s="53"/>
      <c r="J199" s="54"/>
      <c r="K199" s="53"/>
      <c r="L199" s="53"/>
      <c r="M199" s="53"/>
      <c r="N199" s="53"/>
      <c r="O199" s="53"/>
      <c r="P199" s="54"/>
      <c r="Q199" s="53"/>
      <c r="R199" s="53"/>
    </row>
    <row r="200" spans="1:18">
      <c r="A200" s="53"/>
      <c r="B200" s="3"/>
      <c r="C200" s="9"/>
      <c r="D200" s="3"/>
      <c r="E200" s="3"/>
      <c r="F200" s="3"/>
      <c r="G200" s="53"/>
      <c r="H200" s="53"/>
      <c r="I200" s="53"/>
      <c r="J200" s="54"/>
      <c r="K200" s="53"/>
      <c r="L200" s="53"/>
      <c r="M200" s="53"/>
      <c r="N200" s="53"/>
      <c r="O200" s="53"/>
      <c r="P200" s="54"/>
      <c r="Q200" s="53"/>
      <c r="R200" s="53"/>
    </row>
    <row r="201" spans="1:18">
      <c r="A201" s="53"/>
      <c r="B201" s="3"/>
      <c r="C201" s="9"/>
      <c r="D201" s="3"/>
      <c r="E201" s="3"/>
      <c r="F201" s="3"/>
      <c r="G201" s="53"/>
      <c r="H201" s="53"/>
      <c r="I201" s="53"/>
      <c r="J201" s="54"/>
      <c r="K201" s="53"/>
      <c r="L201" s="53"/>
      <c r="M201" s="53"/>
      <c r="N201" s="53"/>
      <c r="O201" s="53"/>
      <c r="P201" s="54"/>
      <c r="Q201" s="53"/>
      <c r="R201" s="53"/>
    </row>
    <row r="202" spans="1:18">
      <c r="A202" s="53"/>
      <c r="B202" s="3"/>
      <c r="C202" s="9"/>
      <c r="D202" s="3"/>
      <c r="E202" s="3"/>
      <c r="F202" s="3"/>
      <c r="G202" s="53"/>
      <c r="H202" s="53"/>
      <c r="I202" s="53"/>
      <c r="J202" s="54"/>
      <c r="K202" s="53"/>
      <c r="L202" s="53"/>
      <c r="M202" s="53"/>
      <c r="N202" s="53"/>
      <c r="O202" s="53"/>
      <c r="P202" s="54"/>
      <c r="Q202" s="53"/>
      <c r="R202" s="53"/>
    </row>
    <row r="203" spans="1:18">
      <c r="A203" s="53"/>
      <c r="B203" s="3"/>
      <c r="C203" s="9"/>
      <c r="D203" s="3"/>
      <c r="E203" s="3"/>
      <c r="F203" s="3"/>
      <c r="G203" s="53"/>
      <c r="H203" s="53"/>
      <c r="I203" s="53"/>
      <c r="J203" s="54"/>
      <c r="K203" s="53"/>
      <c r="L203" s="53"/>
      <c r="M203" s="53"/>
      <c r="N203" s="53"/>
      <c r="O203" s="53"/>
      <c r="P203" s="54"/>
      <c r="Q203" s="53"/>
      <c r="R203" s="53"/>
    </row>
    <row r="204" spans="1:18">
      <c r="A204" s="53"/>
      <c r="B204" s="3"/>
      <c r="C204" s="9"/>
      <c r="D204" s="3"/>
      <c r="E204" s="3"/>
      <c r="F204" s="3"/>
      <c r="G204" s="53"/>
      <c r="H204" s="53"/>
      <c r="I204" s="53"/>
      <c r="J204" s="54"/>
      <c r="K204" s="53"/>
      <c r="L204" s="53"/>
      <c r="M204" s="53"/>
      <c r="N204" s="53"/>
      <c r="O204" s="53"/>
      <c r="P204" s="54"/>
      <c r="Q204" s="53"/>
      <c r="R204" s="53"/>
    </row>
    <row r="205" spans="1:18">
      <c r="A205" s="53"/>
      <c r="B205" s="3"/>
      <c r="C205" s="9"/>
      <c r="D205" s="3"/>
      <c r="E205" s="3"/>
      <c r="F205" s="3"/>
      <c r="G205" s="53"/>
      <c r="H205" s="53"/>
      <c r="I205" s="53"/>
      <c r="J205" s="54"/>
      <c r="K205" s="53"/>
      <c r="L205" s="53"/>
      <c r="M205" s="53"/>
      <c r="N205" s="53"/>
      <c r="O205" s="53"/>
      <c r="P205" s="54"/>
      <c r="Q205" s="53"/>
      <c r="R205" s="53"/>
    </row>
    <row r="206" spans="1:18">
      <c r="A206" s="53"/>
      <c r="B206" s="3"/>
      <c r="C206" s="9"/>
      <c r="D206" s="3"/>
      <c r="E206" s="3"/>
      <c r="F206" s="3"/>
      <c r="G206" s="53"/>
      <c r="H206" s="53"/>
      <c r="I206" s="53"/>
      <c r="J206" s="54"/>
      <c r="K206" s="53"/>
      <c r="L206" s="53"/>
      <c r="M206" s="53"/>
      <c r="N206" s="53"/>
      <c r="O206" s="53"/>
      <c r="P206" s="54"/>
      <c r="Q206" s="53"/>
      <c r="R206" s="53"/>
    </row>
    <row r="207" spans="1:18">
      <c r="A207" s="53"/>
      <c r="B207" s="3"/>
      <c r="C207" s="9"/>
      <c r="D207" s="3"/>
      <c r="E207" s="3"/>
      <c r="F207" s="3"/>
      <c r="G207" s="53"/>
      <c r="H207" s="53"/>
      <c r="I207" s="53"/>
      <c r="J207" s="54"/>
      <c r="K207" s="53"/>
      <c r="L207" s="53"/>
      <c r="M207" s="53"/>
      <c r="N207" s="53"/>
      <c r="O207" s="53"/>
      <c r="P207" s="54"/>
      <c r="Q207" s="53"/>
      <c r="R207" s="53"/>
    </row>
    <row r="208" spans="1:18">
      <c r="A208" s="53"/>
      <c r="B208" s="3"/>
      <c r="C208" s="9"/>
      <c r="D208" s="3"/>
      <c r="E208" s="3"/>
      <c r="F208" s="3"/>
      <c r="G208" s="53"/>
      <c r="H208" s="53"/>
      <c r="I208" s="53"/>
      <c r="J208" s="54"/>
      <c r="K208" s="53"/>
      <c r="L208" s="53"/>
      <c r="M208" s="53"/>
      <c r="N208" s="53"/>
      <c r="O208" s="53"/>
      <c r="P208" s="54"/>
      <c r="Q208" s="53"/>
      <c r="R208" s="53"/>
    </row>
    <row r="209" spans="1:18">
      <c r="A209" s="53"/>
      <c r="B209" s="3"/>
      <c r="C209" s="9"/>
      <c r="D209" s="3"/>
      <c r="E209" s="3"/>
      <c r="F209" s="3"/>
      <c r="G209" s="53"/>
      <c r="H209" s="53"/>
      <c r="I209" s="53"/>
      <c r="J209" s="54"/>
      <c r="K209" s="53"/>
      <c r="L209" s="53"/>
      <c r="M209" s="53"/>
      <c r="N209" s="53"/>
      <c r="O209" s="53"/>
      <c r="P209" s="54"/>
      <c r="Q209" s="53"/>
      <c r="R209" s="53"/>
    </row>
    <row r="210" spans="1:18">
      <c r="A210" s="53"/>
      <c r="B210" s="3"/>
      <c r="C210" s="9"/>
      <c r="D210" s="3"/>
      <c r="E210" s="3"/>
      <c r="F210" s="3"/>
      <c r="G210" s="53"/>
      <c r="H210" s="53"/>
      <c r="I210" s="53"/>
      <c r="J210" s="54"/>
      <c r="K210" s="53"/>
      <c r="L210" s="53"/>
      <c r="M210" s="53"/>
      <c r="N210" s="53"/>
      <c r="O210" s="53"/>
      <c r="P210" s="54"/>
      <c r="Q210" s="53"/>
      <c r="R210" s="53"/>
    </row>
    <row r="211" spans="1:18">
      <c r="A211" s="53"/>
      <c r="B211" s="3"/>
      <c r="C211" s="9"/>
      <c r="D211" s="3"/>
      <c r="E211" s="3"/>
      <c r="F211" s="3"/>
      <c r="G211" s="53"/>
      <c r="H211" s="53"/>
      <c r="I211" s="53"/>
      <c r="J211" s="54"/>
      <c r="K211" s="53"/>
      <c r="L211" s="53"/>
      <c r="M211" s="53"/>
      <c r="N211" s="53"/>
      <c r="O211" s="53"/>
      <c r="P211" s="54"/>
      <c r="Q211" s="53"/>
      <c r="R211" s="53"/>
    </row>
    <row r="212" spans="1:18">
      <c r="A212" s="53"/>
      <c r="B212" s="3"/>
      <c r="C212" s="9"/>
      <c r="D212" s="3"/>
      <c r="E212" s="3"/>
      <c r="F212" s="3"/>
      <c r="G212" s="53"/>
      <c r="H212" s="53"/>
      <c r="I212" s="53"/>
      <c r="J212" s="54"/>
      <c r="K212" s="53"/>
      <c r="L212" s="53"/>
      <c r="M212" s="53"/>
      <c r="N212" s="53"/>
      <c r="O212" s="53"/>
      <c r="P212" s="54"/>
      <c r="Q212" s="53"/>
      <c r="R212" s="53"/>
    </row>
    <row r="213" spans="1:18">
      <c r="A213" s="53"/>
      <c r="B213" s="3"/>
      <c r="C213" s="9"/>
      <c r="D213" s="3"/>
      <c r="E213" s="3"/>
      <c r="F213" s="3"/>
      <c r="G213" s="53"/>
      <c r="H213" s="53"/>
      <c r="I213" s="53"/>
      <c r="J213" s="54"/>
      <c r="K213" s="53"/>
      <c r="L213" s="53"/>
      <c r="M213" s="53"/>
      <c r="N213" s="53"/>
      <c r="O213" s="53"/>
      <c r="P213" s="54"/>
      <c r="Q213" s="53"/>
      <c r="R213" s="53"/>
    </row>
    <row r="214" spans="1:18">
      <c r="A214" s="53"/>
      <c r="B214" s="3"/>
      <c r="C214" s="9"/>
      <c r="D214" s="3"/>
      <c r="E214" s="3"/>
      <c r="F214" s="3"/>
      <c r="G214" s="53"/>
      <c r="H214" s="53"/>
      <c r="I214" s="53"/>
      <c r="J214" s="54"/>
      <c r="K214" s="53"/>
      <c r="L214" s="53"/>
      <c r="M214" s="53"/>
      <c r="N214" s="53"/>
      <c r="O214" s="53"/>
      <c r="P214" s="54"/>
      <c r="Q214" s="53"/>
      <c r="R214" s="53"/>
    </row>
    <row r="215" spans="1:18">
      <c r="A215" s="53"/>
      <c r="B215" s="3"/>
      <c r="C215" s="9"/>
      <c r="D215" s="3"/>
      <c r="E215" s="3"/>
      <c r="F215" s="3"/>
      <c r="G215" s="53"/>
      <c r="H215" s="53"/>
      <c r="I215" s="53"/>
      <c r="J215" s="54"/>
      <c r="K215" s="53"/>
      <c r="L215" s="53"/>
      <c r="M215" s="53"/>
      <c r="N215" s="53"/>
      <c r="O215" s="53"/>
      <c r="P215" s="54"/>
      <c r="Q215" s="53"/>
      <c r="R215" s="53"/>
    </row>
    <row r="216" spans="1:18">
      <c r="A216" s="53"/>
      <c r="B216" s="3"/>
      <c r="C216" s="9"/>
      <c r="D216" s="3"/>
      <c r="E216" s="3"/>
      <c r="F216" s="3"/>
      <c r="G216" s="53"/>
      <c r="H216" s="53"/>
      <c r="I216" s="53"/>
      <c r="J216" s="54"/>
      <c r="K216" s="53"/>
      <c r="L216" s="53"/>
      <c r="M216" s="53"/>
      <c r="N216" s="53"/>
      <c r="O216" s="53"/>
      <c r="P216" s="54"/>
      <c r="Q216" s="53"/>
      <c r="R216" s="53"/>
    </row>
    <row r="217" spans="1:18">
      <c r="A217" s="53"/>
      <c r="B217" s="3"/>
      <c r="C217" s="9"/>
      <c r="D217" s="3"/>
      <c r="E217" s="3"/>
      <c r="F217" s="3"/>
      <c r="G217" s="53"/>
      <c r="H217" s="53"/>
      <c r="I217" s="53"/>
      <c r="J217" s="54"/>
      <c r="K217" s="53"/>
      <c r="L217" s="53"/>
      <c r="M217" s="53"/>
      <c r="N217" s="53"/>
      <c r="O217" s="53"/>
      <c r="P217" s="54"/>
      <c r="Q217" s="53"/>
      <c r="R217" s="53"/>
    </row>
    <row r="218" spans="1:18">
      <c r="A218" s="53"/>
      <c r="B218" s="3"/>
      <c r="C218" s="9"/>
      <c r="D218" s="3"/>
      <c r="E218" s="3"/>
      <c r="F218" s="3"/>
      <c r="G218" s="53"/>
      <c r="H218" s="53"/>
      <c r="I218" s="53"/>
      <c r="J218" s="54"/>
      <c r="K218" s="53"/>
      <c r="L218" s="53"/>
      <c r="M218" s="53"/>
      <c r="N218" s="53"/>
      <c r="O218" s="53"/>
      <c r="P218" s="54"/>
      <c r="Q218" s="53"/>
      <c r="R218" s="53"/>
    </row>
    <row r="219" spans="1:18">
      <c r="A219" s="53"/>
      <c r="B219" s="3"/>
      <c r="C219" s="9"/>
      <c r="D219" s="3"/>
      <c r="E219" s="3"/>
      <c r="F219" s="3"/>
      <c r="G219" s="53"/>
      <c r="H219" s="53"/>
      <c r="I219" s="53"/>
      <c r="J219" s="54"/>
      <c r="K219" s="53"/>
      <c r="L219" s="53"/>
      <c r="M219" s="53"/>
      <c r="N219" s="53"/>
      <c r="O219" s="53"/>
      <c r="P219" s="54"/>
      <c r="Q219" s="53"/>
      <c r="R219" s="53"/>
    </row>
    <row r="220" spans="1:18">
      <c r="A220" s="53"/>
      <c r="B220" s="3"/>
      <c r="C220" s="9"/>
      <c r="D220" s="3"/>
      <c r="E220" s="3"/>
      <c r="F220" s="3"/>
      <c r="G220" s="53"/>
      <c r="H220" s="53"/>
      <c r="I220" s="53"/>
      <c r="J220" s="54"/>
      <c r="K220" s="53"/>
      <c r="L220" s="53"/>
      <c r="M220" s="53"/>
      <c r="N220" s="53"/>
      <c r="O220" s="53"/>
      <c r="P220" s="54"/>
      <c r="Q220" s="53"/>
      <c r="R220" s="53"/>
    </row>
    <row r="221" spans="1:18">
      <c r="A221" s="53"/>
      <c r="B221" s="3"/>
      <c r="C221" s="9"/>
      <c r="D221" s="3"/>
      <c r="E221" s="3"/>
      <c r="F221" s="3"/>
      <c r="G221" s="53"/>
      <c r="H221" s="53"/>
      <c r="I221" s="53"/>
      <c r="J221" s="54"/>
      <c r="K221" s="53"/>
      <c r="L221" s="53"/>
      <c r="M221" s="53"/>
      <c r="N221" s="53"/>
      <c r="O221" s="53"/>
      <c r="P221" s="54"/>
      <c r="Q221" s="53"/>
      <c r="R221" s="53"/>
    </row>
    <row r="222" spans="1:18">
      <c r="A222" s="53"/>
      <c r="B222" s="3"/>
      <c r="C222" s="9"/>
      <c r="D222" s="3"/>
      <c r="E222" s="3"/>
      <c r="F222" s="3"/>
      <c r="G222" s="53"/>
      <c r="H222" s="53"/>
      <c r="I222" s="53"/>
      <c r="J222" s="54"/>
      <c r="K222" s="53"/>
      <c r="L222" s="53"/>
      <c r="M222" s="53"/>
      <c r="N222" s="53"/>
      <c r="O222" s="53"/>
      <c r="P222" s="54"/>
      <c r="Q222" s="53"/>
      <c r="R222" s="53"/>
    </row>
    <row r="223" spans="1:18">
      <c r="A223" s="53"/>
      <c r="B223" s="3"/>
      <c r="C223" s="9"/>
      <c r="D223" s="3"/>
      <c r="E223" s="3"/>
      <c r="F223" s="3"/>
      <c r="G223" s="53"/>
      <c r="H223" s="53"/>
      <c r="I223" s="53"/>
      <c r="J223" s="54"/>
      <c r="K223" s="53"/>
      <c r="L223" s="53"/>
      <c r="M223" s="53"/>
      <c r="N223" s="53"/>
      <c r="O223" s="53"/>
      <c r="P223" s="54"/>
      <c r="Q223" s="53"/>
      <c r="R223" s="53"/>
    </row>
    <row r="224" spans="1:18">
      <c r="A224" s="53"/>
      <c r="B224" s="3"/>
      <c r="C224" s="9"/>
      <c r="D224" s="3"/>
      <c r="E224" s="3"/>
      <c r="F224" s="3"/>
      <c r="G224" s="53"/>
      <c r="H224" s="53"/>
      <c r="I224" s="53"/>
      <c r="J224" s="54"/>
      <c r="K224" s="53"/>
      <c r="L224" s="53"/>
      <c r="M224" s="53"/>
      <c r="N224" s="53"/>
      <c r="O224" s="53"/>
      <c r="P224" s="54"/>
      <c r="Q224" s="53"/>
      <c r="R224" s="53"/>
    </row>
    <row r="225" spans="1:18">
      <c r="A225" s="53"/>
      <c r="B225" s="3"/>
      <c r="C225" s="9"/>
      <c r="D225" s="3"/>
      <c r="E225" s="3"/>
      <c r="F225" s="3"/>
      <c r="G225" s="53"/>
      <c r="H225" s="53"/>
      <c r="I225" s="53"/>
      <c r="J225" s="54"/>
      <c r="K225" s="53"/>
      <c r="L225" s="53"/>
      <c r="M225" s="53"/>
      <c r="N225" s="53"/>
      <c r="O225" s="53"/>
      <c r="P225" s="54"/>
      <c r="Q225" s="53"/>
      <c r="R225" s="53"/>
    </row>
    <row r="226" spans="1:18">
      <c r="A226" s="53"/>
      <c r="B226" s="3"/>
      <c r="C226" s="9"/>
      <c r="D226" s="3"/>
      <c r="E226" s="3"/>
      <c r="F226" s="3"/>
      <c r="G226" s="53"/>
      <c r="H226" s="53"/>
      <c r="I226" s="53"/>
      <c r="J226" s="54"/>
      <c r="K226" s="53"/>
      <c r="L226" s="53"/>
      <c r="M226" s="53"/>
      <c r="N226" s="53"/>
      <c r="O226" s="53"/>
      <c r="P226" s="54"/>
      <c r="Q226" s="53"/>
      <c r="R226" s="53"/>
    </row>
    <row r="227" spans="1:18">
      <c r="A227" s="53"/>
      <c r="B227" s="3"/>
      <c r="C227" s="9"/>
      <c r="D227" s="3"/>
      <c r="E227" s="3"/>
      <c r="F227" s="3"/>
      <c r="G227" s="53"/>
      <c r="H227" s="53"/>
      <c r="I227" s="53"/>
      <c r="J227" s="54"/>
      <c r="K227" s="53"/>
      <c r="L227" s="53"/>
      <c r="M227" s="53"/>
      <c r="N227" s="53"/>
      <c r="O227" s="53"/>
      <c r="P227" s="54"/>
      <c r="Q227" s="53"/>
      <c r="R227" s="53"/>
    </row>
    <row r="228" spans="1:18">
      <c r="A228" s="53"/>
      <c r="B228" s="3"/>
      <c r="C228" s="9"/>
      <c r="D228" s="3"/>
      <c r="E228" s="3"/>
      <c r="F228" s="3"/>
      <c r="G228" s="53"/>
      <c r="H228" s="53"/>
      <c r="I228" s="53"/>
      <c r="J228" s="54"/>
      <c r="K228" s="53"/>
      <c r="L228" s="53"/>
      <c r="M228" s="53"/>
      <c r="N228" s="53"/>
      <c r="O228" s="53"/>
      <c r="P228" s="54"/>
      <c r="Q228" s="53"/>
      <c r="R228" s="53"/>
    </row>
    <row r="229" spans="1:18">
      <c r="A229" s="53"/>
      <c r="B229" s="3"/>
      <c r="C229" s="9"/>
      <c r="D229" s="3"/>
      <c r="E229" s="3"/>
      <c r="F229" s="3"/>
      <c r="G229" s="53"/>
      <c r="H229" s="53"/>
      <c r="I229" s="53"/>
      <c r="J229" s="54"/>
      <c r="K229" s="53"/>
      <c r="L229" s="53"/>
      <c r="M229" s="53"/>
      <c r="N229" s="53"/>
      <c r="O229" s="53"/>
      <c r="P229" s="54"/>
      <c r="Q229" s="53"/>
      <c r="R229" s="53"/>
    </row>
    <row r="230" spans="1:18">
      <c r="A230" s="53"/>
      <c r="B230" s="3"/>
      <c r="C230" s="9"/>
      <c r="D230" s="3"/>
      <c r="E230" s="3"/>
      <c r="F230" s="3"/>
      <c r="G230" s="53"/>
      <c r="H230" s="53"/>
      <c r="I230" s="53"/>
      <c r="J230" s="54"/>
      <c r="K230" s="53"/>
      <c r="L230" s="53"/>
      <c r="M230" s="53"/>
      <c r="N230" s="53"/>
      <c r="O230" s="53"/>
      <c r="P230" s="54"/>
      <c r="Q230" s="53"/>
      <c r="R230" s="53"/>
    </row>
    <row r="231" spans="1:18">
      <c r="A231" s="53"/>
      <c r="B231" s="3"/>
      <c r="C231" s="9"/>
      <c r="D231" s="3"/>
      <c r="E231" s="3"/>
      <c r="F231" s="3"/>
      <c r="G231" s="53"/>
      <c r="H231" s="53"/>
      <c r="I231" s="53"/>
      <c r="J231" s="54"/>
      <c r="K231" s="53"/>
      <c r="L231" s="53"/>
      <c r="M231" s="53"/>
      <c r="N231" s="53"/>
      <c r="O231" s="53"/>
      <c r="P231" s="54"/>
      <c r="Q231" s="53"/>
      <c r="R231" s="53"/>
    </row>
    <row r="232" spans="1:18">
      <c r="A232" s="53"/>
      <c r="B232" s="3"/>
      <c r="C232" s="9"/>
      <c r="D232" s="3"/>
      <c r="E232" s="3"/>
      <c r="F232" s="3"/>
      <c r="G232" s="53"/>
      <c r="H232" s="53"/>
      <c r="I232" s="53"/>
      <c r="J232" s="54"/>
      <c r="K232" s="53"/>
      <c r="L232" s="53"/>
      <c r="M232" s="53"/>
      <c r="N232" s="53"/>
      <c r="O232" s="53"/>
      <c r="P232" s="54"/>
      <c r="Q232" s="53"/>
      <c r="R232" s="53"/>
    </row>
    <row r="233" spans="1:18">
      <c r="A233" s="53"/>
      <c r="B233" s="3"/>
      <c r="C233" s="9"/>
      <c r="D233" s="3"/>
      <c r="E233" s="3"/>
      <c r="F233" s="3"/>
      <c r="G233" s="53"/>
      <c r="H233" s="53"/>
      <c r="I233" s="53"/>
      <c r="J233" s="54"/>
      <c r="K233" s="53"/>
      <c r="L233" s="53"/>
      <c r="M233" s="53"/>
      <c r="N233" s="53"/>
      <c r="O233" s="53"/>
      <c r="P233" s="54"/>
      <c r="Q233" s="53"/>
      <c r="R233" s="53"/>
    </row>
    <row r="234" spans="1:18">
      <c r="A234" s="53"/>
      <c r="B234" s="3"/>
      <c r="C234" s="9"/>
      <c r="D234" s="3"/>
      <c r="E234" s="3"/>
      <c r="F234" s="3"/>
      <c r="G234" s="53"/>
      <c r="H234" s="53"/>
      <c r="I234" s="53"/>
      <c r="J234" s="54"/>
      <c r="K234" s="53"/>
      <c r="L234" s="53"/>
      <c r="M234" s="53"/>
      <c r="N234" s="53"/>
      <c r="O234" s="53"/>
      <c r="P234" s="54"/>
      <c r="Q234" s="53"/>
      <c r="R234" s="53"/>
    </row>
    <row r="235" spans="1:18">
      <c r="A235" s="53"/>
      <c r="B235" s="3"/>
      <c r="C235" s="9"/>
      <c r="D235" s="3"/>
      <c r="E235" s="3"/>
      <c r="F235" s="3"/>
      <c r="G235" s="53"/>
      <c r="H235" s="53"/>
      <c r="I235" s="53"/>
      <c r="J235" s="54"/>
      <c r="K235" s="53"/>
      <c r="L235" s="53"/>
      <c r="M235" s="53"/>
      <c r="N235" s="53"/>
      <c r="O235" s="53"/>
      <c r="P235" s="54"/>
      <c r="Q235" s="53"/>
      <c r="R235" s="53"/>
    </row>
    <row r="236" spans="1:18">
      <c r="A236" s="53"/>
      <c r="B236" s="3"/>
      <c r="C236" s="9"/>
      <c r="D236" s="3"/>
      <c r="E236" s="3"/>
      <c r="F236" s="3"/>
      <c r="G236" s="53"/>
      <c r="H236" s="53"/>
      <c r="I236" s="53"/>
      <c r="J236" s="54"/>
      <c r="K236" s="53"/>
      <c r="L236" s="53"/>
      <c r="M236" s="53"/>
      <c r="N236" s="53"/>
      <c r="O236" s="53"/>
      <c r="P236" s="54"/>
      <c r="Q236" s="53"/>
      <c r="R236" s="53"/>
    </row>
    <row r="237" spans="1:18">
      <c r="A237" s="53"/>
      <c r="B237" s="3"/>
      <c r="C237" s="9"/>
      <c r="D237" s="3"/>
      <c r="E237" s="3"/>
      <c r="F237" s="3"/>
      <c r="G237" s="53"/>
      <c r="H237" s="53"/>
      <c r="I237" s="53"/>
      <c r="J237" s="54"/>
      <c r="K237" s="53"/>
      <c r="L237" s="53"/>
      <c r="M237" s="53"/>
      <c r="N237" s="53"/>
      <c r="O237" s="53"/>
      <c r="P237" s="54"/>
      <c r="Q237" s="53"/>
      <c r="R237" s="53"/>
    </row>
    <row r="238" spans="1:18">
      <c r="A238" s="53"/>
      <c r="B238" s="3"/>
      <c r="C238" s="9"/>
      <c r="D238" s="3"/>
      <c r="E238" s="3"/>
      <c r="F238" s="3"/>
      <c r="G238" s="53"/>
      <c r="H238" s="53"/>
      <c r="I238" s="53"/>
      <c r="J238" s="54"/>
      <c r="K238" s="53"/>
      <c r="L238" s="53"/>
      <c r="M238" s="53"/>
      <c r="N238" s="53"/>
      <c r="O238" s="53"/>
      <c r="P238" s="54"/>
      <c r="Q238" s="53"/>
      <c r="R238" s="53"/>
    </row>
    <row r="239" spans="1:18">
      <c r="A239" s="53"/>
      <c r="B239" s="3"/>
      <c r="C239" s="9"/>
      <c r="D239" s="3"/>
      <c r="E239" s="3"/>
      <c r="F239" s="3"/>
      <c r="G239" s="53"/>
      <c r="H239" s="53"/>
      <c r="I239" s="53"/>
      <c r="J239" s="54"/>
      <c r="K239" s="53"/>
      <c r="L239" s="53"/>
      <c r="M239" s="53"/>
      <c r="N239" s="53"/>
      <c r="O239" s="53"/>
      <c r="P239" s="54"/>
      <c r="Q239" s="53"/>
      <c r="R239" s="53"/>
    </row>
    <row r="240" spans="1:18">
      <c r="A240" s="53"/>
      <c r="B240" s="3"/>
      <c r="C240" s="9"/>
      <c r="D240" s="3"/>
      <c r="E240" s="3"/>
      <c r="F240" s="3"/>
      <c r="G240" s="53"/>
      <c r="H240" s="53"/>
      <c r="I240" s="53"/>
      <c r="J240" s="54"/>
      <c r="K240" s="53"/>
      <c r="L240" s="53"/>
      <c r="M240" s="53"/>
      <c r="N240" s="53"/>
      <c r="O240" s="53"/>
      <c r="P240" s="54"/>
      <c r="Q240" s="53"/>
      <c r="R240" s="53"/>
    </row>
    <row r="241" spans="1:18">
      <c r="A241" s="53"/>
      <c r="B241" s="3"/>
      <c r="C241" s="9"/>
      <c r="D241" s="3"/>
      <c r="E241" s="3"/>
      <c r="F241" s="3"/>
      <c r="G241" s="53"/>
      <c r="H241" s="53"/>
      <c r="I241" s="53"/>
      <c r="J241" s="54"/>
      <c r="K241" s="53"/>
      <c r="L241" s="53"/>
      <c r="M241" s="53"/>
      <c r="N241" s="53"/>
      <c r="O241" s="53"/>
      <c r="P241" s="54"/>
      <c r="Q241" s="53"/>
      <c r="R241" s="53"/>
    </row>
    <row r="242" spans="1:18">
      <c r="A242" s="53"/>
      <c r="B242" s="3"/>
      <c r="C242" s="9"/>
      <c r="D242" s="3"/>
      <c r="E242" s="3"/>
      <c r="F242" s="3"/>
      <c r="G242" s="53"/>
      <c r="H242" s="53"/>
      <c r="I242" s="53"/>
      <c r="J242" s="54"/>
      <c r="K242" s="53"/>
      <c r="L242" s="53"/>
      <c r="M242" s="53"/>
      <c r="N242" s="53"/>
      <c r="O242" s="53"/>
      <c r="P242" s="54"/>
      <c r="Q242" s="53"/>
      <c r="R242" s="53"/>
    </row>
    <row r="243" spans="1:18">
      <c r="A243" s="53"/>
      <c r="B243" s="3"/>
      <c r="C243" s="9"/>
      <c r="D243" s="3"/>
      <c r="E243" s="3"/>
      <c r="F243" s="3"/>
      <c r="G243" s="53"/>
      <c r="H243" s="53"/>
      <c r="I243" s="53"/>
      <c r="J243" s="54"/>
      <c r="K243" s="53"/>
      <c r="L243" s="53"/>
      <c r="M243" s="53"/>
      <c r="N243" s="53"/>
      <c r="O243" s="53"/>
      <c r="P243" s="54"/>
      <c r="Q243" s="53"/>
      <c r="R243" s="53"/>
    </row>
    <row r="244" spans="1:18">
      <c r="A244" s="53"/>
      <c r="B244" s="3"/>
      <c r="C244" s="9"/>
      <c r="D244" s="3"/>
      <c r="E244" s="3"/>
      <c r="F244" s="3"/>
      <c r="G244" s="53"/>
      <c r="H244" s="53"/>
      <c r="I244" s="53"/>
      <c r="J244" s="54"/>
      <c r="K244" s="53"/>
      <c r="L244" s="53"/>
      <c r="M244" s="53"/>
      <c r="N244" s="53"/>
      <c r="O244" s="53"/>
      <c r="P244" s="54"/>
      <c r="Q244" s="53"/>
      <c r="R244" s="53"/>
    </row>
    <row r="245" spans="1:18">
      <c r="A245" s="53"/>
      <c r="B245" s="3"/>
      <c r="C245" s="9"/>
      <c r="D245" s="3"/>
      <c r="E245" s="3"/>
      <c r="F245" s="3"/>
      <c r="G245" s="53"/>
      <c r="H245" s="53"/>
      <c r="I245" s="53"/>
      <c r="J245" s="54"/>
      <c r="K245" s="53"/>
      <c r="L245" s="53"/>
      <c r="M245" s="53"/>
      <c r="N245" s="53"/>
      <c r="O245" s="53"/>
      <c r="P245" s="54"/>
      <c r="Q245" s="53"/>
      <c r="R245" s="53"/>
    </row>
    <row r="246" spans="1:18">
      <c r="A246" s="53"/>
      <c r="B246" s="3"/>
      <c r="C246" s="9"/>
      <c r="D246" s="3"/>
      <c r="E246" s="3"/>
      <c r="F246" s="3"/>
      <c r="G246" s="53"/>
      <c r="H246" s="53"/>
      <c r="I246" s="53"/>
      <c r="J246" s="54"/>
      <c r="K246" s="53"/>
      <c r="L246" s="53"/>
      <c r="M246" s="53"/>
      <c r="N246" s="53"/>
      <c r="O246" s="53"/>
      <c r="P246" s="54"/>
      <c r="Q246" s="53"/>
      <c r="R246" s="53"/>
    </row>
    <row r="247" spans="1:18">
      <c r="A247" s="53"/>
      <c r="B247" s="3"/>
      <c r="C247" s="9"/>
      <c r="D247" s="3"/>
      <c r="E247" s="3"/>
      <c r="F247" s="3"/>
      <c r="G247" s="53"/>
      <c r="H247" s="53"/>
      <c r="I247" s="53"/>
      <c r="J247" s="54"/>
      <c r="K247" s="53"/>
      <c r="L247" s="53"/>
      <c r="M247" s="53"/>
      <c r="N247" s="53"/>
      <c r="O247" s="53"/>
      <c r="P247" s="54"/>
      <c r="Q247" s="53"/>
      <c r="R247" s="53"/>
    </row>
    <row r="248" spans="1:18">
      <c r="A248" s="53"/>
      <c r="B248" s="3"/>
      <c r="C248" s="9"/>
      <c r="D248" s="3"/>
      <c r="E248" s="3"/>
      <c r="F248" s="3"/>
      <c r="G248" s="53"/>
      <c r="H248" s="53"/>
      <c r="I248" s="53"/>
      <c r="J248" s="54"/>
      <c r="K248" s="53"/>
      <c r="L248" s="53"/>
      <c r="M248" s="53"/>
      <c r="N248" s="53"/>
      <c r="O248" s="53"/>
      <c r="P248" s="54"/>
      <c r="Q248" s="53"/>
      <c r="R248" s="53"/>
    </row>
    <row r="249" spans="1:18">
      <c r="A249" s="53"/>
      <c r="B249" s="3"/>
      <c r="C249" s="9"/>
      <c r="D249" s="3"/>
      <c r="E249" s="3"/>
      <c r="F249" s="3"/>
      <c r="G249" s="53"/>
      <c r="H249" s="53"/>
      <c r="I249" s="53"/>
      <c r="J249" s="54"/>
      <c r="K249" s="53"/>
      <c r="L249" s="53"/>
      <c r="M249" s="53"/>
      <c r="N249" s="53"/>
      <c r="O249" s="53"/>
      <c r="P249" s="54"/>
      <c r="Q249" s="53"/>
      <c r="R249" s="53"/>
    </row>
    <row r="250" spans="1:18">
      <c r="A250" s="53"/>
      <c r="B250" s="3"/>
      <c r="C250" s="9"/>
      <c r="D250" s="3"/>
      <c r="E250" s="3"/>
      <c r="F250" s="3"/>
      <c r="G250" s="53"/>
      <c r="H250" s="53"/>
      <c r="I250" s="53"/>
      <c r="J250" s="54"/>
      <c r="K250" s="53"/>
      <c r="L250" s="53"/>
      <c r="M250" s="53"/>
      <c r="N250" s="53"/>
      <c r="O250" s="53"/>
      <c r="P250" s="54"/>
      <c r="Q250" s="53"/>
      <c r="R250" s="53"/>
    </row>
    <row r="251" spans="1:18">
      <c r="A251" s="53"/>
      <c r="B251" s="3"/>
      <c r="C251" s="9"/>
      <c r="D251" s="3"/>
      <c r="E251" s="3"/>
      <c r="F251" s="3"/>
      <c r="G251" s="53"/>
      <c r="H251" s="53"/>
      <c r="I251" s="53"/>
      <c r="J251" s="54"/>
      <c r="K251" s="53"/>
      <c r="L251" s="53"/>
      <c r="M251" s="53"/>
      <c r="N251" s="53"/>
      <c r="O251" s="53"/>
      <c r="P251" s="54"/>
      <c r="Q251" s="53"/>
      <c r="R251" s="53"/>
    </row>
    <row r="252" spans="1:18">
      <c r="A252" s="53"/>
      <c r="B252" s="3"/>
      <c r="C252" s="9"/>
      <c r="D252" s="3"/>
      <c r="E252" s="3"/>
      <c r="F252" s="3"/>
      <c r="G252" s="53"/>
      <c r="H252" s="53"/>
      <c r="I252" s="53"/>
      <c r="J252" s="54"/>
      <c r="K252" s="53"/>
      <c r="L252" s="53"/>
      <c r="M252" s="53"/>
      <c r="N252" s="53"/>
      <c r="O252" s="53"/>
      <c r="P252" s="54"/>
      <c r="Q252" s="53"/>
      <c r="R252" s="53"/>
    </row>
    <row r="253" spans="1:18">
      <c r="A253" s="53"/>
      <c r="B253" s="3"/>
      <c r="C253" s="9"/>
      <c r="D253" s="3"/>
      <c r="E253" s="3"/>
      <c r="F253" s="3"/>
      <c r="G253" s="53"/>
      <c r="H253" s="53"/>
      <c r="I253" s="53"/>
      <c r="J253" s="54"/>
      <c r="K253" s="53"/>
      <c r="L253" s="53"/>
      <c r="M253" s="53"/>
      <c r="N253" s="53"/>
      <c r="O253" s="53"/>
      <c r="P253" s="54"/>
      <c r="Q253" s="53"/>
      <c r="R253" s="53"/>
    </row>
    <row r="254" spans="1:18">
      <c r="A254" s="53"/>
      <c r="B254" s="3"/>
      <c r="C254" s="9"/>
      <c r="D254" s="3"/>
      <c r="E254" s="3"/>
      <c r="F254" s="3"/>
      <c r="G254" s="53"/>
      <c r="H254" s="53"/>
      <c r="I254" s="53"/>
      <c r="J254" s="54"/>
      <c r="K254" s="53"/>
      <c r="L254" s="53"/>
      <c r="M254" s="53"/>
      <c r="N254" s="53"/>
      <c r="O254" s="53"/>
      <c r="P254" s="54"/>
      <c r="Q254" s="53"/>
      <c r="R254" s="53"/>
    </row>
    <row r="255" spans="1:18">
      <c r="A255" s="53"/>
      <c r="B255" s="3"/>
      <c r="C255" s="9"/>
      <c r="D255" s="3"/>
      <c r="E255" s="3"/>
      <c r="F255" s="3"/>
      <c r="G255" s="53"/>
      <c r="H255" s="53"/>
      <c r="I255" s="53"/>
      <c r="J255" s="54"/>
      <c r="K255" s="53"/>
      <c r="L255" s="53"/>
      <c r="M255" s="53"/>
      <c r="N255" s="53"/>
      <c r="O255" s="53"/>
      <c r="P255" s="54"/>
      <c r="Q255" s="53"/>
      <c r="R255" s="53"/>
    </row>
    <row r="256" spans="1:18">
      <c r="A256" s="53"/>
      <c r="B256" s="3"/>
      <c r="C256" s="9"/>
      <c r="D256" s="3"/>
      <c r="E256" s="3"/>
      <c r="F256" s="3"/>
      <c r="G256" s="53"/>
      <c r="H256" s="53"/>
      <c r="I256" s="53"/>
      <c r="J256" s="54"/>
      <c r="K256" s="53"/>
      <c r="L256" s="53"/>
      <c r="M256" s="53"/>
      <c r="N256" s="53"/>
      <c r="O256" s="53"/>
      <c r="P256" s="54"/>
      <c r="Q256" s="53"/>
      <c r="R256" s="53"/>
    </row>
    <row r="257" spans="1:18">
      <c r="A257" s="53"/>
      <c r="B257" s="3"/>
      <c r="C257" s="9"/>
      <c r="D257" s="3"/>
      <c r="E257" s="3"/>
      <c r="F257" s="3"/>
      <c r="G257" s="53"/>
      <c r="H257" s="53"/>
      <c r="I257" s="53"/>
      <c r="J257" s="54"/>
      <c r="K257" s="53"/>
      <c r="L257" s="53"/>
      <c r="M257" s="53"/>
      <c r="N257" s="53"/>
      <c r="O257" s="53"/>
      <c r="P257" s="54"/>
      <c r="Q257" s="53"/>
      <c r="R257" s="53"/>
    </row>
    <row r="258" spans="1:18">
      <c r="A258" s="53"/>
      <c r="B258" s="3"/>
      <c r="C258" s="9"/>
      <c r="D258" s="3"/>
      <c r="E258" s="3"/>
      <c r="F258" s="3"/>
      <c r="G258" s="53"/>
      <c r="H258" s="53"/>
      <c r="I258" s="53"/>
      <c r="J258" s="54"/>
      <c r="K258" s="53"/>
      <c r="L258" s="53"/>
      <c r="M258" s="53"/>
      <c r="N258" s="53"/>
      <c r="O258" s="53"/>
      <c r="P258" s="54"/>
      <c r="Q258" s="53"/>
      <c r="R258" s="53"/>
    </row>
    <row r="259" spans="1:18">
      <c r="A259" s="53"/>
      <c r="B259" s="3"/>
      <c r="C259" s="9"/>
      <c r="D259" s="3"/>
      <c r="E259" s="3"/>
      <c r="F259" s="3"/>
      <c r="G259" s="53"/>
      <c r="H259" s="53"/>
      <c r="I259" s="53"/>
      <c r="J259" s="54"/>
      <c r="K259" s="53"/>
      <c r="L259" s="53"/>
      <c r="M259" s="53"/>
      <c r="N259" s="53"/>
      <c r="O259" s="53"/>
      <c r="P259" s="54"/>
      <c r="Q259" s="53"/>
      <c r="R259" s="53"/>
    </row>
    <row r="260" spans="1:18">
      <c r="A260" s="53"/>
      <c r="B260" s="3"/>
      <c r="C260" s="9"/>
      <c r="D260" s="3"/>
      <c r="E260" s="3"/>
      <c r="F260" s="3"/>
      <c r="G260" s="53"/>
      <c r="H260" s="53"/>
      <c r="I260" s="53"/>
      <c r="J260" s="54"/>
      <c r="K260" s="53"/>
      <c r="L260" s="53"/>
      <c r="M260" s="53"/>
      <c r="N260" s="53"/>
      <c r="O260" s="53"/>
      <c r="P260" s="54"/>
      <c r="Q260" s="53"/>
      <c r="R260" s="53"/>
    </row>
    <row r="261" spans="1:18">
      <c r="A261" s="53"/>
      <c r="B261" s="3"/>
      <c r="C261" s="9"/>
      <c r="D261" s="3"/>
      <c r="E261" s="3"/>
      <c r="F261" s="3"/>
      <c r="G261" s="53"/>
      <c r="H261" s="53"/>
      <c r="I261" s="53"/>
      <c r="J261" s="54"/>
      <c r="K261" s="53"/>
      <c r="L261" s="53"/>
      <c r="M261" s="53"/>
      <c r="N261" s="53"/>
      <c r="O261" s="53"/>
      <c r="P261" s="54"/>
      <c r="Q261" s="53"/>
      <c r="R261" s="53"/>
    </row>
    <row r="262" spans="1:18">
      <c r="A262" s="53"/>
      <c r="B262" s="3"/>
      <c r="C262" s="9"/>
      <c r="D262" s="3"/>
      <c r="E262" s="3"/>
      <c r="F262" s="3"/>
      <c r="G262" s="53"/>
      <c r="H262" s="53"/>
      <c r="I262" s="53"/>
      <c r="J262" s="54"/>
      <c r="K262" s="53"/>
      <c r="L262" s="53"/>
      <c r="M262" s="53"/>
      <c r="N262" s="53"/>
      <c r="O262" s="53"/>
      <c r="P262" s="54"/>
      <c r="Q262" s="53"/>
      <c r="R262" s="53"/>
    </row>
    <row r="263" spans="1:18">
      <c r="A263" s="53"/>
      <c r="B263" s="3"/>
      <c r="C263" s="9"/>
      <c r="D263" s="3"/>
      <c r="E263" s="3"/>
      <c r="F263" s="3"/>
      <c r="G263" s="53"/>
      <c r="H263" s="53"/>
      <c r="I263" s="53"/>
      <c r="J263" s="54"/>
      <c r="K263" s="53"/>
      <c r="L263" s="53"/>
      <c r="M263" s="53"/>
      <c r="N263" s="53"/>
      <c r="O263" s="53"/>
      <c r="P263" s="54"/>
      <c r="Q263" s="53"/>
      <c r="R263" s="53"/>
    </row>
    <row r="264" spans="1:18">
      <c r="A264" s="53"/>
      <c r="B264" s="3"/>
      <c r="C264" s="9"/>
      <c r="D264" s="3"/>
      <c r="E264" s="3"/>
      <c r="F264" s="3"/>
      <c r="G264" s="53"/>
      <c r="H264" s="53"/>
      <c r="I264" s="53"/>
      <c r="J264" s="54"/>
      <c r="K264" s="53"/>
      <c r="L264" s="53"/>
      <c r="M264" s="53"/>
      <c r="N264" s="53"/>
      <c r="O264" s="53"/>
      <c r="P264" s="54"/>
      <c r="Q264" s="53"/>
      <c r="R264" s="53"/>
    </row>
    <row r="265" spans="1:18">
      <c r="A265" s="53"/>
      <c r="B265" s="3"/>
      <c r="C265" s="9"/>
      <c r="D265" s="3"/>
      <c r="E265" s="3"/>
      <c r="F265" s="3"/>
      <c r="G265" s="53"/>
      <c r="H265" s="53"/>
      <c r="I265" s="53"/>
      <c r="J265" s="54"/>
      <c r="K265" s="53"/>
      <c r="L265" s="53"/>
      <c r="M265" s="53"/>
      <c r="N265" s="53"/>
      <c r="O265" s="53"/>
      <c r="P265" s="54"/>
      <c r="Q265" s="53"/>
      <c r="R265" s="53"/>
    </row>
    <row r="266" spans="1:18">
      <c r="A266" s="53"/>
      <c r="B266" s="3"/>
      <c r="C266" s="9"/>
      <c r="D266" s="3"/>
      <c r="E266" s="3"/>
      <c r="F266" s="3"/>
      <c r="G266" s="53"/>
      <c r="H266" s="53"/>
      <c r="I266" s="53"/>
      <c r="J266" s="54"/>
      <c r="K266" s="53"/>
      <c r="L266" s="53"/>
      <c r="M266" s="53"/>
      <c r="N266" s="53"/>
      <c r="O266" s="53"/>
      <c r="P266" s="54"/>
      <c r="Q266" s="53"/>
      <c r="R266" s="53"/>
    </row>
    <row r="267" spans="1:18">
      <c r="A267" s="53"/>
      <c r="B267" s="3"/>
      <c r="C267" s="9"/>
      <c r="D267" s="3"/>
      <c r="E267" s="3"/>
      <c r="F267" s="3"/>
      <c r="G267" s="53"/>
      <c r="H267" s="53"/>
      <c r="I267" s="53"/>
      <c r="J267" s="54"/>
      <c r="K267" s="53"/>
      <c r="L267" s="53"/>
      <c r="M267" s="53"/>
      <c r="N267" s="53"/>
      <c r="O267" s="53"/>
      <c r="P267" s="54"/>
      <c r="Q267" s="53"/>
      <c r="R267" s="53"/>
    </row>
    <row r="268" spans="1:18">
      <c r="A268" s="53"/>
      <c r="B268" s="3"/>
      <c r="C268" s="9"/>
      <c r="D268" s="3"/>
      <c r="E268" s="3"/>
      <c r="F268" s="3"/>
      <c r="G268" s="53"/>
      <c r="H268" s="53"/>
      <c r="I268" s="53"/>
      <c r="J268" s="54"/>
      <c r="K268" s="53"/>
      <c r="L268" s="53"/>
      <c r="M268" s="53"/>
      <c r="N268" s="53"/>
      <c r="O268" s="53"/>
      <c r="P268" s="54"/>
      <c r="Q268" s="53"/>
      <c r="R268" s="53"/>
    </row>
    <row r="269" spans="1:18">
      <c r="A269" s="53"/>
      <c r="B269" s="3"/>
      <c r="C269" s="9"/>
      <c r="D269" s="3"/>
      <c r="E269" s="3"/>
      <c r="F269" s="3"/>
      <c r="G269" s="53"/>
      <c r="H269" s="53"/>
      <c r="I269" s="53"/>
      <c r="J269" s="54"/>
      <c r="K269" s="53"/>
      <c r="L269" s="53"/>
      <c r="M269" s="53"/>
      <c r="N269" s="53"/>
      <c r="O269" s="53"/>
      <c r="P269" s="54"/>
      <c r="Q269" s="53"/>
      <c r="R269" s="53"/>
    </row>
    <row r="270" spans="1:18">
      <c r="A270" s="53"/>
      <c r="B270" s="3"/>
      <c r="C270" s="9"/>
      <c r="D270" s="3"/>
      <c r="E270" s="3"/>
      <c r="F270" s="3"/>
      <c r="G270" s="53"/>
      <c r="H270" s="53"/>
      <c r="I270" s="53"/>
      <c r="J270" s="54"/>
      <c r="K270" s="53"/>
      <c r="L270" s="53"/>
      <c r="M270" s="53"/>
      <c r="N270" s="53"/>
      <c r="O270" s="53"/>
      <c r="P270" s="54"/>
      <c r="Q270" s="53"/>
      <c r="R270" s="53"/>
    </row>
    <row r="271" spans="1:18">
      <c r="A271" s="53"/>
      <c r="B271" s="3"/>
      <c r="C271" s="9"/>
      <c r="D271" s="3"/>
      <c r="E271" s="3"/>
      <c r="F271" s="3"/>
      <c r="G271" s="53"/>
      <c r="H271" s="53"/>
      <c r="I271" s="53"/>
      <c r="J271" s="54"/>
      <c r="K271" s="53"/>
      <c r="L271" s="53"/>
      <c r="M271" s="53"/>
      <c r="N271" s="53"/>
      <c r="O271" s="53"/>
      <c r="P271" s="54"/>
      <c r="Q271" s="53"/>
      <c r="R271" s="53"/>
    </row>
    <row r="272" spans="1:18">
      <c r="A272" s="53"/>
      <c r="B272" s="3"/>
      <c r="C272" s="9"/>
      <c r="D272" s="3"/>
      <c r="E272" s="3"/>
      <c r="F272" s="3"/>
      <c r="G272" s="53"/>
      <c r="H272" s="53"/>
      <c r="I272" s="53"/>
      <c r="J272" s="54"/>
      <c r="K272" s="53"/>
      <c r="L272" s="53"/>
      <c r="M272" s="53"/>
      <c r="N272" s="53"/>
      <c r="O272" s="53"/>
      <c r="P272" s="54"/>
      <c r="Q272" s="53"/>
      <c r="R272" s="53"/>
    </row>
    <row r="273" spans="1:18">
      <c r="A273" s="53"/>
      <c r="B273" s="3"/>
      <c r="C273" s="9"/>
      <c r="D273" s="3"/>
      <c r="E273" s="3"/>
      <c r="F273" s="3"/>
      <c r="G273" s="53"/>
      <c r="H273" s="53"/>
      <c r="I273" s="53"/>
      <c r="J273" s="54"/>
      <c r="K273" s="53"/>
      <c r="L273" s="53"/>
      <c r="M273" s="53"/>
      <c r="N273" s="53"/>
      <c r="O273" s="53"/>
      <c r="P273" s="54"/>
      <c r="Q273" s="53"/>
      <c r="R273" s="53"/>
    </row>
    <row r="274" spans="1:18">
      <c r="A274" s="53"/>
      <c r="B274" s="3"/>
      <c r="C274" s="9"/>
      <c r="D274" s="3"/>
      <c r="E274" s="3"/>
      <c r="F274" s="3"/>
      <c r="G274" s="53"/>
      <c r="H274" s="53"/>
      <c r="I274" s="53"/>
      <c r="J274" s="54"/>
      <c r="K274" s="53"/>
      <c r="L274" s="53"/>
      <c r="M274" s="53"/>
      <c r="N274" s="53"/>
      <c r="O274" s="53"/>
      <c r="P274" s="54"/>
      <c r="Q274" s="53"/>
      <c r="R274" s="53"/>
    </row>
    <row r="275" spans="1:18">
      <c r="A275" s="53"/>
      <c r="B275" s="3"/>
      <c r="C275" s="9"/>
      <c r="D275" s="3"/>
      <c r="E275" s="3"/>
      <c r="F275" s="3"/>
      <c r="G275" s="53"/>
      <c r="H275" s="53"/>
      <c r="I275" s="53"/>
      <c r="J275" s="54"/>
      <c r="K275" s="53"/>
      <c r="L275" s="53"/>
      <c r="M275" s="53"/>
      <c r="N275" s="53"/>
      <c r="O275" s="53"/>
      <c r="P275" s="54"/>
      <c r="Q275" s="53"/>
      <c r="R275" s="53"/>
    </row>
    <row r="276" spans="1:18">
      <c r="A276" s="53"/>
      <c r="B276" s="3"/>
      <c r="C276" s="9"/>
      <c r="D276" s="3"/>
      <c r="E276" s="3"/>
      <c r="F276" s="3"/>
      <c r="G276" s="53"/>
      <c r="H276" s="53"/>
      <c r="I276" s="53"/>
      <c r="J276" s="54"/>
      <c r="K276" s="53"/>
      <c r="L276" s="53"/>
      <c r="M276" s="53"/>
      <c r="N276" s="53"/>
      <c r="O276" s="53"/>
      <c r="P276" s="54"/>
      <c r="Q276" s="53"/>
      <c r="R276" s="53"/>
    </row>
    <row r="277" spans="1:18">
      <c r="A277" s="53"/>
      <c r="B277" s="3"/>
      <c r="C277" s="9"/>
      <c r="D277" s="3"/>
      <c r="E277" s="3"/>
      <c r="F277" s="3"/>
      <c r="G277" s="53"/>
      <c r="H277" s="53"/>
      <c r="I277" s="53"/>
      <c r="J277" s="54"/>
      <c r="K277" s="53"/>
      <c r="L277" s="53"/>
      <c r="M277" s="53"/>
      <c r="N277" s="53"/>
      <c r="O277" s="53"/>
      <c r="P277" s="54"/>
      <c r="Q277" s="53"/>
      <c r="R277" s="53"/>
    </row>
    <row r="278" spans="1:18">
      <c r="A278" s="53"/>
      <c r="B278" s="3"/>
      <c r="C278" s="9"/>
      <c r="D278" s="3"/>
      <c r="E278" s="3"/>
      <c r="F278" s="3"/>
      <c r="G278" s="53"/>
      <c r="H278" s="53"/>
      <c r="I278" s="53"/>
      <c r="J278" s="54"/>
      <c r="K278" s="53"/>
      <c r="L278" s="53"/>
      <c r="M278" s="53"/>
      <c r="N278" s="53"/>
      <c r="O278" s="53"/>
      <c r="P278" s="54"/>
      <c r="Q278" s="53"/>
      <c r="R278" s="53"/>
    </row>
    <row r="279" spans="1:18">
      <c r="A279" s="53"/>
      <c r="B279" s="3"/>
      <c r="C279" s="9"/>
      <c r="D279" s="3"/>
      <c r="E279" s="3"/>
      <c r="F279" s="3"/>
      <c r="G279" s="53"/>
      <c r="H279" s="53"/>
      <c r="I279" s="53"/>
      <c r="J279" s="54"/>
      <c r="K279" s="53"/>
      <c r="L279" s="53"/>
      <c r="M279" s="53"/>
      <c r="N279" s="53"/>
      <c r="O279" s="53"/>
      <c r="P279" s="54"/>
      <c r="Q279" s="53"/>
      <c r="R279" s="53"/>
    </row>
    <row r="280" spans="1:18">
      <c r="A280" s="53"/>
      <c r="B280" s="3"/>
      <c r="C280" s="9"/>
      <c r="D280" s="3"/>
      <c r="E280" s="3"/>
      <c r="F280" s="3"/>
      <c r="G280" s="53"/>
      <c r="H280" s="53"/>
      <c r="I280" s="53"/>
      <c r="J280" s="54"/>
      <c r="K280" s="53"/>
      <c r="L280" s="53"/>
      <c r="M280" s="53"/>
      <c r="N280" s="53"/>
      <c r="O280" s="53"/>
      <c r="P280" s="54"/>
      <c r="Q280" s="53"/>
      <c r="R280" s="53"/>
    </row>
    <row r="281" spans="1:18">
      <c r="A281" s="53"/>
      <c r="B281" s="3"/>
      <c r="C281" s="9"/>
      <c r="D281" s="3"/>
      <c r="E281" s="3"/>
      <c r="F281" s="3"/>
      <c r="G281" s="53"/>
      <c r="H281" s="53"/>
      <c r="I281" s="53"/>
      <c r="J281" s="54"/>
      <c r="K281" s="53"/>
      <c r="L281" s="53"/>
      <c r="M281" s="53"/>
      <c r="N281" s="53"/>
      <c r="O281" s="53"/>
      <c r="P281" s="54"/>
      <c r="Q281" s="53"/>
      <c r="R281" s="53"/>
    </row>
    <row r="282" spans="1:18">
      <c r="A282" s="53"/>
      <c r="B282" s="3"/>
      <c r="C282" s="9"/>
      <c r="D282" s="3"/>
      <c r="E282" s="3"/>
      <c r="F282" s="3"/>
      <c r="G282" s="53"/>
      <c r="H282" s="53"/>
      <c r="I282" s="53"/>
      <c r="J282" s="54"/>
      <c r="K282" s="53"/>
      <c r="L282" s="53"/>
      <c r="M282" s="53"/>
      <c r="N282" s="53"/>
      <c r="O282" s="53"/>
      <c r="P282" s="54"/>
      <c r="Q282" s="53"/>
      <c r="R282" s="53"/>
    </row>
    <row r="283" spans="1:18">
      <c r="A283" s="53"/>
      <c r="B283" s="3"/>
      <c r="C283" s="9"/>
      <c r="D283" s="3"/>
      <c r="E283" s="3"/>
      <c r="F283" s="3"/>
      <c r="G283" s="53"/>
      <c r="H283" s="53"/>
      <c r="I283" s="53"/>
      <c r="J283" s="54"/>
      <c r="K283" s="53"/>
      <c r="L283" s="53"/>
      <c r="M283" s="53"/>
      <c r="N283" s="53"/>
      <c r="O283" s="53"/>
      <c r="P283" s="54"/>
      <c r="Q283" s="53"/>
      <c r="R283" s="53"/>
    </row>
    <row r="284" spans="1:18">
      <c r="A284" s="53"/>
      <c r="B284" s="3"/>
      <c r="C284" s="9"/>
      <c r="D284" s="3"/>
      <c r="E284" s="3"/>
      <c r="F284" s="3"/>
      <c r="G284" s="53"/>
      <c r="H284" s="53"/>
      <c r="I284" s="53"/>
      <c r="J284" s="54"/>
      <c r="K284" s="53"/>
      <c r="L284" s="53"/>
      <c r="M284" s="53"/>
      <c r="N284" s="53"/>
      <c r="O284" s="53"/>
      <c r="P284" s="54"/>
      <c r="Q284" s="53"/>
      <c r="R284" s="53"/>
    </row>
    <row r="285" spans="1:18">
      <c r="A285" s="53"/>
      <c r="B285" s="3"/>
      <c r="C285" s="9"/>
      <c r="D285" s="3"/>
      <c r="E285" s="3"/>
      <c r="F285" s="3"/>
      <c r="G285" s="53"/>
      <c r="H285" s="53"/>
      <c r="I285" s="53"/>
      <c r="J285" s="54"/>
      <c r="K285" s="53"/>
      <c r="L285" s="53"/>
      <c r="M285" s="53"/>
      <c r="N285" s="53"/>
      <c r="O285" s="53"/>
      <c r="P285" s="54"/>
      <c r="Q285" s="53"/>
      <c r="R285" s="53"/>
    </row>
    <row r="286" spans="1:18">
      <c r="A286" s="53"/>
      <c r="B286" s="3"/>
      <c r="C286" s="9"/>
      <c r="D286" s="3"/>
      <c r="E286" s="3"/>
      <c r="F286" s="3"/>
      <c r="G286" s="53"/>
      <c r="H286" s="53"/>
      <c r="I286" s="53"/>
      <c r="J286" s="54"/>
      <c r="K286" s="53"/>
      <c r="L286" s="53"/>
      <c r="M286" s="53"/>
      <c r="N286" s="53"/>
      <c r="O286" s="53"/>
      <c r="P286" s="54"/>
      <c r="Q286" s="53"/>
      <c r="R286" s="53"/>
    </row>
    <row r="287" spans="1:18">
      <c r="A287" s="53"/>
      <c r="B287" s="3"/>
      <c r="C287" s="9"/>
      <c r="D287" s="3"/>
      <c r="E287" s="3"/>
      <c r="F287" s="3"/>
      <c r="G287" s="53"/>
      <c r="H287" s="53"/>
      <c r="I287" s="53"/>
      <c r="J287" s="54"/>
      <c r="K287" s="53"/>
      <c r="L287" s="53"/>
      <c r="M287" s="53"/>
      <c r="N287" s="53"/>
      <c r="O287" s="53"/>
      <c r="P287" s="54"/>
      <c r="Q287" s="53"/>
      <c r="R287" s="53"/>
    </row>
    <row r="288" spans="1:18">
      <c r="A288" s="53"/>
      <c r="B288" s="3"/>
      <c r="C288" s="9"/>
      <c r="D288" s="3"/>
      <c r="E288" s="3"/>
      <c r="F288" s="3"/>
      <c r="G288" s="53"/>
      <c r="H288" s="53"/>
      <c r="I288" s="53"/>
      <c r="J288" s="54"/>
      <c r="K288" s="53"/>
      <c r="L288" s="53"/>
      <c r="M288" s="53"/>
      <c r="N288" s="53"/>
      <c r="O288" s="53"/>
      <c r="P288" s="54"/>
      <c r="Q288" s="53"/>
      <c r="R288" s="53"/>
    </row>
    <row r="289" spans="1:18">
      <c r="A289" s="53"/>
      <c r="B289" s="3"/>
      <c r="C289" s="9"/>
      <c r="D289" s="3"/>
      <c r="E289" s="3"/>
      <c r="F289" s="3"/>
      <c r="G289" s="53"/>
      <c r="H289" s="53"/>
      <c r="I289" s="53"/>
      <c r="J289" s="54"/>
      <c r="K289" s="53"/>
      <c r="L289" s="53"/>
      <c r="M289" s="53"/>
      <c r="N289" s="53"/>
      <c r="O289" s="53"/>
      <c r="P289" s="54"/>
      <c r="Q289" s="53"/>
      <c r="R289" s="53"/>
    </row>
    <row r="290" spans="1:18">
      <c r="A290" s="53"/>
      <c r="B290" s="3"/>
      <c r="C290" s="9"/>
      <c r="D290" s="3"/>
      <c r="E290" s="3"/>
      <c r="F290" s="3"/>
      <c r="G290" s="53"/>
      <c r="H290" s="53"/>
      <c r="I290" s="53"/>
      <c r="J290" s="54"/>
      <c r="K290" s="53"/>
      <c r="L290" s="53"/>
      <c r="M290" s="53"/>
      <c r="N290" s="53"/>
      <c r="O290" s="53"/>
      <c r="P290" s="54"/>
      <c r="Q290" s="53"/>
      <c r="R290" s="53"/>
    </row>
    <row r="291" spans="1:18">
      <c r="A291" s="53"/>
      <c r="B291" s="3"/>
      <c r="C291" s="9"/>
      <c r="D291" s="3"/>
      <c r="E291" s="3"/>
      <c r="F291" s="3"/>
      <c r="G291" s="53"/>
      <c r="H291" s="53"/>
      <c r="I291" s="53"/>
      <c r="J291" s="54"/>
      <c r="K291" s="53"/>
      <c r="L291" s="53"/>
      <c r="M291" s="53"/>
      <c r="N291" s="53"/>
      <c r="O291" s="53"/>
      <c r="P291" s="54"/>
      <c r="Q291" s="53"/>
      <c r="R291" s="53"/>
    </row>
    <row r="292" spans="1:18">
      <c r="A292" s="53"/>
      <c r="B292" s="3"/>
      <c r="C292" s="9"/>
      <c r="D292" s="3"/>
      <c r="E292" s="3"/>
      <c r="F292" s="3"/>
      <c r="G292" s="53"/>
      <c r="H292" s="53"/>
      <c r="I292" s="53"/>
      <c r="J292" s="54"/>
      <c r="K292" s="53"/>
      <c r="L292" s="53"/>
      <c r="M292" s="53"/>
      <c r="N292" s="53"/>
      <c r="O292" s="53"/>
      <c r="P292" s="54"/>
      <c r="Q292" s="53"/>
      <c r="R292" s="53"/>
    </row>
    <row r="293" spans="1:18">
      <c r="A293" s="53"/>
      <c r="B293" s="3"/>
      <c r="C293" s="9"/>
      <c r="D293" s="3"/>
      <c r="E293" s="3"/>
      <c r="F293" s="3"/>
      <c r="G293" s="53"/>
      <c r="H293" s="53"/>
      <c r="I293" s="53"/>
      <c r="J293" s="54"/>
      <c r="K293" s="53"/>
      <c r="L293" s="53"/>
      <c r="M293" s="53"/>
      <c r="N293" s="53"/>
      <c r="O293" s="53"/>
      <c r="P293" s="54"/>
      <c r="Q293" s="53"/>
      <c r="R293" s="53"/>
    </row>
    <row r="294" spans="1:18">
      <c r="A294" s="53"/>
      <c r="B294" s="3"/>
      <c r="C294" s="9"/>
      <c r="D294" s="3"/>
      <c r="E294" s="3"/>
      <c r="F294" s="3"/>
      <c r="G294" s="53"/>
      <c r="H294" s="53"/>
      <c r="I294" s="53"/>
      <c r="J294" s="54"/>
      <c r="K294" s="53"/>
      <c r="L294" s="53"/>
      <c r="M294" s="53"/>
      <c r="N294" s="53"/>
      <c r="O294" s="53"/>
      <c r="P294" s="54"/>
      <c r="Q294" s="53"/>
      <c r="R294" s="53"/>
    </row>
    <row r="295" spans="1:18">
      <c r="A295" s="53"/>
      <c r="B295" s="3"/>
      <c r="C295" s="9"/>
      <c r="D295" s="3"/>
      <c r="E295" s="3"/>
      <c r="F295" s="3"/>
      <c r="G295" s="53"/>
      <c r="H295" s="53"/>
      <c r="I295" s="53"/>
      <c r="J295" s="54"/>
      <c r="K295" s="53"/>
      <c r="L295" s="53"/>
      <c r="M295" s="53"/>
      <c r="N295" s="53"/>
      <c r="O295" s="53"/>
      <c r="P295" s="54"/>
      <c r="Q295" s="53"/>
      <c r="R295" s="53"/>
    </row>
    <row r="296" spans="1:18">
      <c r="A296" s="53"/>
      <c r="B296" s="3"/>
      <c r="C296" s="9"/>
      <c r="D296" s="3"/>
      <c r="E296" s="3"/>
      <c r="F296" s="3"/>
      <c r="G296" s="53"/>
      <c r="H296" s="53"/>
      <c r="I296" s="53"/>
      <c r="J296" s="54"/>
      <c r="K296" s="53"/>
      <c r="L296" s="53"/>
      <c r="M296" s="53"/>
      <c r="N296" s="53"/>
      <c r="O296" s="53"/>
      <c r="P296" s="54"/>
      <c r="Q296" s="53"/>
      <c r="R296" s="53"/>
    </row>
    <row r="297" spans="1:18">
      <c r="A297" s="53"/>
      <c r="B297" s="3"/>
      <c r="C297" s="9"/>
      <c r="D297" s="3"/>
      <c r="E297" s="3"/>
      <c r="F297" s="3"/>
      <c r="G297" s="53"/>
      <c r="H297" s="53"/>
      <c r="I297" s="53"/>
      <c r="J297" s="54"/>
      <c r="K297" s="53"/>
      <c r="L297" s="53"/>
      <c r="M297" s="53"/>
      <c r="N297" s="53"/>
      <c r="O297" s="53"/>
      <c r="P297" s="54"/>
      <c r="Q297" s="53"/>
      <c r="R297" s="53"/>
    </row>
    <row r="298" spans="1:18">
      <c r="A298" s="53"/>
      <c r="B298" s="3"/>
      <c r="C298" s="9"/>
      <c r="D298" s="3"/>
      <c r="E298" s="3"/>
      <c r="F298" s="3"/>
      <c r="G298" s="53"/>
      <c r="H298" s="53"/>
      <c r="I298" s="53"/>
      <c r="J298" s="54"/>
      <c r="K298" s="53"/>
      <c r="L298" s="53"/>
      <c r="M298" s="53"/>
      <c r="N298" s="53"/>
      <c r="O298" s="53"/>
      <c r="P298" s="54"/>
      <c r="Q298" s="53"/>
      <c r="R298" s="53"/>
    </row>
    <row r="299" spans="1:18">
      <c r="A299" s="53"/>
      <c r="B299" s="3"/>
      <c r="C299" s="9"/>
      <c r="D299" s="3"/>
      <c r="E299" s="3"/>
      <c r="F299" s="3"/>
      <c r="G299" s="53"/>
      <c r="H299" s="53"/>
      <c r="I299" s="53"/>
      <c r="J299" s="54"/>
      <c r="K299" s="53"/>
      <c r="L299" s="53"/>
      <c r="M299" s="53"/>
      <c r="N299" s="53"/>
      <c r="O299" s="53"/>
      <c r="P299" s="54"/>
      <c r="Q299" s="53"/>
      <c r="R299" s="53"/>
    </row>
    <row r="300" spans="1:18">
      <c r="A300" s="53"/>
      <c r="B300" s="3"/>
      <c r="C300" s="9"/>
      <c r="D300" s="3"/>
      <c r="E300" s="3"/>
      <c r="F300" s="3"/>
      <c r="G300" s="53"/>
      <c r="H300" s="53"/>
      <c r="I300" s="53"/>
      <c r="J300" s="54"/>
      <c r="K300" s="53"/>
      <c r="L300" s="53"/>
      <c r="M300" s="53"/>
      <c r="N300" s="53"/>
      <c r="O300" s="53"/>
      <c r="P300" s="54"/>
      <c r="Q300" s="53"/>
      <c r="R300" s="53"/>
    </row>
    <row r="301" spans="1:18">
      <c r="A301" s="53"/>
      <c r="B301" s="3"/>
      <c r="C301" s="9"/>
      <c r="D301" s="3"/>
      <c r="E301" s="3"/>
      <c r="F301" s="3"/>
      <c r="G301" s="53"/>
      <c r="H301" s="53"/>
      <c r="I301" s="53"/>
      <c r="J301" s="54"/>
      <c r="K301" s="53"/>
      <c r="L301" s="53"/>
      <c r="M301" s="53"/>
      <c r="N301" s="53"/>
      <c r="O301" s="53"/>
      <c r="P301" s="54"/>
      <c r="Q301" s="53"/>
      <c r="R301" s="53"/>
    </row>
    <row r="302" spans="1:18">
      <c r="A302" s="53"/>
      <c r="B302" s="3"/>
      <c r="C302" s="9"/>
      <c r="D302" s="3"/>
      <c r="E302" s="3"/>
      <c r="F302" s="3"/>
      <c r="G302" s="53"/>
      <c r="H302" s="53"/>
      <c r="I302" s="53"/>
      <c r="J302" s="54"/>
      <c r="K302" s="53"/>
      <c r="L302" s="53"/>
      <c r="M302" s="53"/>
      <c r="N302" s="53"/>
      <c r="O302" s="53"/>
      <c r="P302" s="54"/>
      <c r="Q302" s="53"/>
      <c r="R302" s="53"/>
    </row>
    <row r="303" spans="1:18">
      <c r="A303" s="53"/>
      <c r="B303" s="3"/>
      <c r="C303" s="9"/>
      <c r="D303" s="3"/>
      <c r="E303" s="3"/>
      <c r="F303" s="3"/>
      <c r="G303" s="53"/>
      <c r="H303" s="53"/>
      <c r="I303" s="53"/>
      <c r="J303" s="54"/>
      <c r="K303" s="53"/>
      <c r="L303" s="53"/>
      <c r="M303" s="53"/>
      <c r="N303" s="53"/>
      <c r="O303" s="53"/>
      <c r="P303" s="54"/>
      <c r="Q303" s="53"/>
      <c r="R303" s="53"/>
    </row>
    <row r="304" spans="1:18">
      <c r="A304" s="53"/>
      <c r="B304" s="3"/>
      <c r="C304" s="9"/>
      <c r="D304" s="3"/>
      <c r="E304" s="3"/>
      <c r="F304" s="3"/>
      <c r="G304" s="53"/>
      <c r="H304" s="53"/>
      <c r="I304" s="53"/>
      <c r="J304" s="54"/>
      <c r="K304" s="53"/>
      <c r="L304" s="53"/>
      <c r="M304" s="53"/>
      <c r="N304" s="53"/>
      <c r="O304" s="53"/>
      <c r="P304" s="54"/>
      <c r="Q304" s="53"/>
      <c r="R304" s="53"/>
    </row>
    <row r="305" spans="1:18">
      <c r="A305" s="53"/>
      <c r="B305" s="3"/>
      <c r="C305" s="9"/>
      <c r="D305" s="3"/>
      <c r="E305" s="3"/>
      <c r="F305" s="3"/>
      <c r="G305" s="53"/>
      <c r="H305" s="53"/>
      <c r="I305" s="53"/>
      <c r="J305" s="54"/>
      <c r="K305" s="53"/>
      <c r="L305" s="53"/>
      <c r="M305" s="53"/>
      <c r="N305" s="53"/>
      <c r="O305" s="53"/>
      <c r="P305" s="54"/>
      <c r="Q305" s="53"/>
      <c r="R305" s="53"/>
    </row>
    <row r="306" spans="1:18">
      <c r="A306" s="53"/>
      <c r="B306" s="3"/>
      <c r="C306" s="9"/>
      <c r="D306" s="3"/>
      <c r="E306" s="3"/>
      <c r="F306" s="3"/>
      <c r="G306" s="53"/>
      <c r="H306" s="53"/>
      <c r="I306" s="53"/>
      <c r="J306" s="54"/>
      <c r="K306" s="53"/>
      <c r="L306" s="53"/>
      <c r="M306" s="53"/>
      <c r="N306" s="53"/>
      <c r="O306" s="53"/>
      <c r="P306" s="54"/>
      <c r="Q306" s="53"/>
      <c r="R306" s="53"/>
    </row>
    <row r="307" spans="1:18">
      <c r="A307" s="53"/>
      <c r="B307" s="3"/>
      <c r="C307" s="9"/>
      <c r="D307" s="3"/>
      <c r="E307" s="3"/>
      <c r="F307" s="3"/>
      <c r="G307" s="53"/>
      <c r="H307" s="53"/>
      <c r="I307" s="53"/>
      <c r="J307" s="54"/>
      <c r="K307" s="53"/>
      <c r="L307" s="53"/>
      <c r="M307" s="53"/>
      <c r="N307" s="53"/>
      <c r="O307" s="53"/>
      <c r="P307" s="54"/>
      <c r="Q307" s="53"/>
      <c r="R307" s="53"/>
    </row>
    <row r="308" spans="1:18">
      <c r="A308" s="53"/>
      <c r="B308" s="3"/>
      <c r="C308" s="9"/>
      <c r="D308" s="3"/>
      <c r="E308" s="3"/>
      <c r="F308" s="3"/>
      <c r="G308" s="53"/>
      <c r="H308" s="53"/>
      <c r="I308" s="53"/>
      <c r="J308" s="54"/>
      <c r="K308" s="53"/>
      <c r="L308" s="53"/>
      <c r="M308" s="53"/>
      <c r="N308" s="53"/>
      <c r="O308" s="53"/>
      <c r="P308" s="54"/>
      <c r="Q308" s="53"/>
      <c r="R308" s="53"/>
    </row>
    <row r="309" spans="1:18">
      <c r="A309" s="53"/>
      <c r="B309" s="3"/>
      <c r="C309" s="9"/>
      <c r="D309" s="3"/>
      <c r="E309" s="3"/>
      <c r="F309" s="3"/>
      <c r="G309" s="53"/>
      <c r="H309" s="53"/>
      <c r="I309" s="53"/>
      <c r="J309" s="54"/>
      <c r="K309" s="53"/>
      <c r="L309" s="53"/>
      <c r="M309" s="53"/>
      <c r="N309" s="53"/>
      <c r="O309" s="53"/>
      <c r="P309" s="54"/>
      <c r="Q309" s="53"/>
      <c r="R309" s="53"/>
    </row>
    <row r="310" spans="1:18">
      <c r="A310" s="53"/>
      <c r="B310" s="3"/>
      <c r="C310" s="9"/>
      <c r="D310" s="3"/>
      <c r="E310" s="3"/>
      <c r="F310" s="3"/>
      <c r="G310" s="53"/>
      <c r="H310" s="53"/>
      <c r="I310" s="53"/>
      <c r="J310" s="54"/>
      <c r="K310" s="53"/>
      <c r="L310" s="53"/>
      <c r="M310" s="53"/>
      <c r="N310" s="53"/>
      <c r="O310" s="53"/>
      <c r="P310" s="54"/>
      <c r="Q310" s="53"/>
      <c r="R310" s="53"/>
    </row>
    <row r="311" spans="1:18">
      <c r="A311" s="53"/>
      <c r="B311" s="3"/>
      <c r="C311" s="9"/>
      <c r="D311" s="3"/>
      <c r="E311" s="3"/>
      <c r="F311" s="3"/>
      <c r="G311" s="53"/>
      <c r="H311" s="53"/>
      <c r="I311" s="53"/>
      <c r="J311" s="54"/>
      <c r="K311" s="53"/>
      <c r="L311" s="53"/>
      <c r="M311" s="53"/>
      <c r="N311" s="53"/>
      <c r="O311" s="53"/>
      <c r="P311" s="54"/>
      <c r="Q311" s="53"/>
      <c r="R311" s="53"/>
    </row>
    <row r="312" spans="1:18">
      <c r="A312" s="53"/>
      <c r="B312" s="3"/>
      <c r="C312" s="9"/>
      <c r="D312" s="3"/>
      <c r="E312" s="3"/>
      <c r="F312" s="3"/>
      <c r="G312" s="53"/>
      <c r="H312" s="53"/>
      <c r="I312" s="53"/>
      <c r="J312" s="54"/>
      <c r="K312" s="53"/>
      <c r="L312" s="53"/>
      <c r="M312" s="53"/>
      <c r="N312" s="53"/>
      <c r="O312" s="53"/>
      <c r="P312" s="54"/>
      <c r="Q312" s="53"/>
      <c r="R312" s="53"/>
    </row>
    <row r="313" spans="1:18">
      <c r="A313" s="53"/>
      <c r="B313" s="3"/>
      <c r="C313" s="9"/>
      <c r="D313" s="3"/>
      <c r="E313" s="3"/>
      <c r="F313" s="3"/>
      <c r="G313" s="53"/>
      <c r="H313" s="53"/>
      <c r="I313" s="53"/>
      <c r="J313" s="54"/>
      <c r="K313" s="53"/>
      <c r="L313" s="53"/>
      <c r="M313" s="53"/>
      <c r="N313" s="53"/>
      <c r="O313" s="53"/>
      <c r="P313" s="54"/>
      <c r="Q313" s="53"/>
      <c r="R313" s="53"/>
    </row>
    <row r="314" spans="1:18">
      <c r="A314" s="53"/>
      <c r="B314" s="3"/>
      <c r="C314" s="9"/>
      <c r="D314" s="3"/>
      <c r="E314" s="3"/>
      <c r="F314" s="3"/>
      <c r="G314" s="53"/>
      <c r="H314" s="53"/>
      <c r="I314" s="53"/>
      <c r="J314" s="54"/>
      <c r="K314" s="53"/>
      <c r="L314" s="53"/>
      <c r="M314" s="53"/>
      <c r="N314" s="53"/>
      <c r="O314" s="53"/>
      <c r="P314" s="54"/>
      <c r="Q314" s="53"/>
      <c r="R314" s="53"/>
    </row>
    <row r="315" spans="1:18">
      <c r="A315" s="53"/>
      <c r="B315" s="3"/>
      <c r="C315" s="9"/>
      <c r="D315" s="3"/>
      <c r="E315" s="3"/>
      <c r="F315" s="3"/>
      <c r="G315" s="53"/>
      <c r="H315" s="53"/>
      <c r="I315" s="53"/>
      <c r="J315" s="54"/>
      <c r="K315" s="53"/>
      <c r="L315" s="53"/>
      <c r="M315" s="53"/>
      <c r="N315" s="53"/>
      <c r="O315" s="53"/>
      <c r="P315" s="54"/>
      <c r="Q315" s="53"/>
      <c r="R315" s="53"/>
    </row>
    <row r="316" spans="1:18">
      <c r="A316" s="53"/>
      <c r="B316" s="3"/>
      <c r="C316" s="9"/>
      <c r="D316" s="3"/>
      <c r="E316" s="3"/>
      <c r="F316" s="3"/>
      <c r="G316" s="53"/>
      <c r="H316" s="53"/>
      <c r="I316" s="53"/>
      <c r="J316" s="54"/>
      <c r="K316" s="53"/>
      <c r="L316" s="53"/>
      <c r="M316" s="53"/>
      <c r="N316" s="53"/>
      <c r="O316" s="53"/>
      <c r="P316" s="54"/>
      <c r="Q316" s="53"/>
      <c r="R316" s="53"/>
    </row>
    <row r="317" spans="1:18">
      <c r="A317" s="53"/>
      <c r="B317" s="3"/>
      <c r="C317" s="9"/>
      <c r="D317" s="3"/>
      <c r="E317" s="3"/>
      <c r="F317" s="3"/>
      <c r="G317" s="53"/>
      <c r="H317" s="53"/>
      <c r="I317" s="53"/>
      <c r="J317" s="54"/>
      <c r="K317" s="53"/>
      <c r="L317" s="53"/>
      <c r="M317" s="53"/>
      <c r="N317" s="53"/>
      <c r="O317" s="53"/>
      <c r="P317" s="54"/>
      <c r="Q317" s="53"/>
      <c r="R317" s="53"/>
    </row>
    <row r="318" spans="1:18">
      <c r="A318" s="53"/>
      <c r="B318" s="3"/>
      <c r="C318" s="9"/>
      <c r="D318" s="3"/>
      <c r="E318" s="3"/>
      <c r="F318" s="3"/>
      <c r="G318" s="53"/>
      <c r="H318" s="53"/>
      <c r="I318" s="53"/>
      <c r="J318" s="54"/>
      <c r="K318" s="53"/>
      <c r="L318" s="53"/>
      <c r="M318" s="53"/>
      <c r="N318" s="53"/>
      <c r="O318" s="53"/>
      <c r="P318" s="54"/>
      <c r="Q318" s="53"/>
      <c r="R318" s="53"/>
    </row>
    <row r="319" spans="1:18">
      <c r="A319" s="53"/>
      <c r="B319" s="3"/>
      <c r="C319" s="9"/>
      <c r="D319" s="3"/>
      <c r="E319" s="3"/>
      <c r="F319" s="3"/>
      <c r="G319" s="53"/>
      <c r="H319" s="53"/>
      <c r="I319" s="53"/>
      <c r="J319" s="54"/>
      <c r="K319" s="53"/>
      <c r="L319" s="53"/>
      <c r="M319" s="53"/>
      <c r="N319" s="53"/>
      <c r="O319" s="53"/>
      <c r="P319" s="54"/>
      <c r="Q319" s="53"/>
      <c r="R319" s="53"/>
    </row>
    <row r="320" spans="1:18">
      <c r="A320" s="53"/>
      <c r="B320" s="3"/>
      <c r="C320" s="9"/>
      <c r="D320" s="3"/>
      <c r="E320" s="3"/>
      <c r="F320" s="3"/>
      <c r="G320" s="53"/>
      <c r="H320" s="53"/>
      <c r="I320" s="53"/>
      <c r="J320" s="54"/>
      <c r="K320" s="53"/>
      <c r="L320" s="53"/>
      <c r="M320" s="53"/>
      <c r="N320" s="53"/>
      <c r="O320" s="53"/>
      <c r="P320" s="54"/>
      <c r="Q320" s="53"/>
      <c r="R320" s="53"/>
    </row>
    <row r="321" spans="1:18">
      <c r="A321" s="53"/>
      <c r="B321" s="3"/>
      <c r="C321" s="9"/>
      <c r="D321" s="3"/>
      <c r="E321" s="3"/>
      <c r="F321" s="3"/>
      <c r="G321" s="53"/>
      <c r="H321" s="53"/>
      <c r="I321" s="53"/>
      <c r="J321" s="54"/>
      <c r="K321" s="53"/>
      <c r="L321" s="53"/>
      <c r="M321" s="53"/>
      <c r="N321" s="53"/>
      <c r="O321" s="53"/>
      <c r="P321" s="54"/>
      <c r="Q321" s="53"/>
      <c r="R321" s="53"/>
    </row>
    <row r="322" spans="1:18">
      <c r="A322" s="53"/>
      <c r="B322" s="3"/>
      <c r="C322" s="9"/>
      <c r="D322" s="3"/>
      <c r="E322" s="3"/>
      <c r="F322" s="3"/>
      <c r="G322" s="53"/>
      <c r="H322" s="53"/>
      <c r="I322" s="53"/>
      <c r="J322" s="54"/>
      <c r="K322" s="53"/>
      <c r="L322" s="53"/>
      <c r="M322" s="53"/>
      <c r="N322" s="53"/>
      <c r="O322" s="53"/>
      <c r="P322" s="54"/>
      <c r="Q322" s="53"/>
      <c r="R322" s="53"/>
    </row>
    <row r="323" spans="1:18">
      <c r="A323" s="53"/>
      <c r="B323" s="3"/>
      <c r="C323" s="9"/>
      <c r="D323" s="3"/>
      <c r="E323" s="3"/>
      <c r="F323" s="3"/>
      <c r="G323" s="53"/>
      <c r="H323" s="53"/>
      <c r="I323" s="53"/>
      <c r="J323" s="54"/>
      <c r="K323" s="53"/>
      <c r="L323" s="53"/>
      <c r="M323" s="53"/>
      <c r="N323" s="53"/>
      <c r="O323" s="53"/>
      <c r="P323" s="54"/>
      <c r="Q323" s="53"/>
      <c r="R323" s="53"/>
    </row>
    <row r="324" spans="1:18">
      <c r="A324" s="53"/>
      <c r="B324" s="3"/>
      <c r="C324" s="9"/>
      <c r="D324" s="3"/>
      <c r="E324" s="3"/>
      <c r="F324" s="3"/>
      <c r="G324" s="53"/>
      <c r="H324" s="53"/>
      <c r="I324" s="53"/>
      <c r="J324" s="54"/>
      <c r="K324" s="53"/>
      <c r="L324" s="53"/>
      <c r="M324" s="53"/>
      <c r="N324" s="53"/>
      <c r="O324" s="53"/>
      <c r="P324" s="54"/>
      <c r="Q324" s="53"/>
      <c r="R324" s="53"/>
    </row>
    <row r="325" spans="1:18">
      <c r="A325" s="53"/>
      <c r="B325" s="3"/>
      <c r="C325" s="9"/>
      <c r="D325" s="3"/>
      <c r="E325" s="3"/>
      <c r="F325" s="3"/>
      <c r="G325" s="53"/>
      <c r="H325" s="53"/>
      <c r="I325" s="53"/>
      <c r="J325" s="54"/>
      <c r="K325" s="53"/>
      <c r="L325" s="53"/>
      <c r="M325" s="53"/>
      <c r="N325" s="53"/>
      <c r="O325" s="53"/>
      <c r="P325" s="54"/>
      <c r="Q325" s="53"/>
      <c r="R325" s="53"/>
    </row>
    <row r="326" spans="1:18">
      <c r="A326" s="53"/>
      <c r="B326" s="3"/>
      <c r="C326" s="9"/>
      <c r="D326" s="3"/>
      <c r="E326" s="3"/>
      <c r="F326" s="3"/>
      <c r="G326" s="53"/>
      <c r="H326" s="53"/>
      <c r="I326" s="53"/>
      <c r="J326" s="54"/>
      <c r="K326" s="53"/>
      <c r="L326" s="53"/>
      <c r="M326" s="53"/>
      <c r="N326" s="53"/>
      <c r="O326" s="53"/>
      <c r="P326" s="54"/>
      <c r="Q326" s="53"/>
      <c r="R326" s="53"/>
    </row>
    <row r="327" spans="1:18">
      <c r="A327" s="53"/>
      <c r="B327" s="3"/>
      <c r="C327" s="9"/>
      <c r="D327" s="3"/>
      <c r="E327" s="3"/>
      <c r="F327" s="3"/>
      <c r="G327" s="53"/>
      <c r="H327" s="53"/>
      <c r="I327" s="53"/>
      <c r="J327" s="54"/>
      <c r="K327" s="53"/>
      <c r="L327" s="53"/>
      <c r="M327" s="53"/>
      <c r="N327" s="53"/>
      <c r="O327" s="53"/>
      <c r="P327" s="54"/>
      <c r="Q327" s="53"/>
      <c r="R327" s="53"/>
    </row>
    <row r="328" spans="1:18">
      <c r="A328" s="53"/>
      <c r="B328" s="3"/>
      <c r="C328" s="9"/>
      <c r="D328" s="3"/>
      <c r="E328" s="3"/>
      <c r="F328" s="3"/>
      <c r="G328" s="53"/>
      <c r="H328" s="53"/>
      <c r="I328" s="53"/>
      <c r="J328" s="54"/>
      <c r="K328" s="53"/>
      <c r="L328" s="53"/>
      <c r="M328" s="53"/>
      <c r="N328" s="53"/>
      <c r="O328" s="53"/>
      <c r="P328" s="54"/>
      <c r="Q328" s="53"/>
      <c r="R328" s="53"/>
    </row>
    <row r="329" spans="1:18">
      <c r="A329" s="53"/>
      <c r="B329" s="3"/>
      <c r="C329" s="9"/>
      <c r="D329" s="3"/>
      <c r="E329" s="3"/>
      <c r="F329" s="3"/>
      <c r="G329" s="53"/>
      <c r="H329" s="53"/>
      <c r="I329" s="53"/>
      <c r="J329" s="54"/>
      <c r="K329" s="53"/>
      <c r="L329" s="53"/>
      <c r="M329" s="53"/>
      <c r="N329" s="53"/>
      <c r="O329" s="53"/>
      <c r="P329" s="54"/>
      <c r="Q329" s="53"/>
      <c r="R329" s="53"/>
    </row>
    <row r="330" spans="1:18">
      <c r="A330" s="53"/>
      <c r="B330" s="3"/>
      <c r="C330" s="9"/>
      <c r="D330" s="3"/>
      <c r="E330" s="3"/>
      <c r="F330" s="3"/>
      <c r="G330" s="53"/>
      <c r="H330" s="53"/>
      <c r="I330" s="53"/>
      <c r="J330" s="54"/>
      <c r="K330" s="53"/>
      <c r="L330" s="53"/>
      <c r="M330" s="53"/>
      <c r="N330" s="53"/>
      <c r="O330" s="53"/>
      <c r="P330" s="54"/>
      <c r="Q330" s="53"/>
      <c r="R330" s="53"/>
    </row>
    <row r="331" spans="1:18">
      <c r="A331" s="53"/>
      <c r="B331" s="3"/>
      <c r="C331" s="9"/>
      <c r="D331" s="3"/>
      <c r="E331" s="3"/>
      <c r="F331" s="3"/>
      <c r="G331" s="53"/>
      <c r="H331" s="53"/>
      <c r="I331" s="53"/>
      <c r="J331" s="54"/>
      <c r="K331" s="53"/>
      <c r="L331" s="53"/>
      <c r="M331" s="53"/>
      <c r="N331" s="53"/>
      <c r="O331" s="53"/>
      <c r="P331" s="54"/>
      <c r="Q331" s="53"/>
      <c r="R331" s="53"/>
    </row>
    <row r="332" spans="1:18">
      <c r="A332" s="53"/>
      <c r="B332" s="3"/>
      <c r="C332" s="9"/>
      <c r="D332" s="3"/>
      <c r="E332" s="3"/>
      <c r="F332" s="3"/>
      <c r="G332" s="53"/>
      <c r="H332" s="53"/>
      <c r="I332" s="53"/>
      <c r="J332" s="54"/>
      <c r="K332" s="53"/>
      <c r="L332" s="53"/>
      <c r="M332" s="53"/>
      <c r="N332" s="53"/>
      <c r="O332" s="53"/>
      <c r="P332" s="54"/>
      <c r="Q332" s="53"/>
      <c r="R332" s="53"/>
    </row>
    <row r="333" spans="1:18">
      <c r="A333" s="53"/>
      <c r="B333" s="3"/>
      <c r="C333" s="9"/>
      <c r="D333" s="3"/>
      <c r="E333" s="3"/>
      <c r="F333" s="3"/>
      <c r="G333" s="53"/>
      <c r="H333" s="53"/>
      <c r="I333" s="53"/>
      <c r="J333" s="54"/>
      <c r="K333" s="53"/>
      <c r="L333" s="53"/>
      <c r="M333" s="53"/>
      <c r="N333" s="53"/>
      <c r="O333" s="53"/>
      <c r="P333" s="54"/>
      <c r="Q333" s="53"/>
      <c r="R333" s="53"/>
    </row>
    <row r="334" spans="1:18">
      <c r="A334" s="53"/>
      <c r="B334" s="3"/>
      <c r="C334" s="9"/>
      <c r="D334" s="3"/>
      <c r="E334" s="3"/>
      <c r="F334" s="3"/>
      <c r="G334" s="53"/>
      <c r="H334" s="53"/>
      <c r="I334" s="53"/>
      <c r="J334" s="54"/>
      <c r="K334" s="53"/>
      <c r="L334" s="53"/>
      <c r="M334" s="53"/>
      <c r="N334" s="53"/>
      <c r="O334" s="53"/>
      <c r="P334" s="54"/>
      <c r="Q334" s="53"/>
      <c r="R334" s="53"/>
    </row>
    <row r="335" spans="1:18">
      <c r="A335" s="53"/>
      <c r="B335" s="3"/>
      <c r="C335" s="9"/>
      <c r="D335" s="3"/>
      <c r="E335" s="3"/>
      <c r="F335" s="3"/>
      <c r="G335" s="53"/>
      <c r="H335" s="53"/>
      <c r="I335" s="53"/>
      <c r="J335" s="54"/>
      <c r="K335" s="53"/>
      <c r="L335" s="53"/>
      <c r="M335" s="53"/>
      <c r="N335" s="53"/>
      <c r="O335" s="53"/>
      <c r="P335" s="54"/>
      <c r="Q335" s="53"/>
      <c r="R335" s="53"/>
    </row>
    <row r="336" spans="1:18">
      <c r="A336" s="53"/>
      <c r="B336" s="3"/>
      <c r="C336" s="9"/>
      <c r="D336" s="3"/>
      <c r="E336" s="3"/>
      <c r="F336" s="3"/>
      <c r="G336" s="53"/>
      <c r="H336" s="53"/>
      <c r="I336" s="53"/>
      <c r="J336" s="54"/>
      <c r="K336" s="53"/>
      <c r="L336" s="53"/>
      <c r="M336" s="53"/>
      <c r="N336" s="53"/>
      <c r="O336" s="53"/>
      <c r="P336" s="54"/>
      <c r="Q336" s="53"/>
      <c r="R336" s="53"/>
    </row>
    <row r="337" spans="1:18">
      <c r="A337" s="53"/>
      <c r="B337" s="3"/>
      <c r="C337" s="9"/>
      <c r="D337" s="3"/>
      <c r="E337" s="3"/>
      <c r="F337" s="3"/>
      <c r="G337" s="53"/>
      <c r="H337" s="53"/>
      <c r="I337" s="53"/>
      <c r="J337" s="54"/>
      <c r="K337" s="53"/>
      <c r="L337" s="53"/>
      <c r="M337" s="53"/>
      <c r="N337" s="53"/>
      <c r="O337" s="53"/>
      <c r="P337" s="54"/>
      <c r="Q337" s="53"/>
      <c r="R337" s="53"/>
    </row>
    <row r="338" spans="1:18">
      <c r="A338" s="53"/>
      <c r="B338" s="3"/>
      <c r="C338" s="9"/>
      <c r="D338" s="3"/>
      <c r="E338" s="3"/>
      <c r="F338" s="3"/>
      <c r="G338" s="53"/>
      <c r="H338" s="53"/>
      <c r="I338" s="53"/>
      <c r="J338" s="54"/>
      <c r="K338" s="53"/>
      <c r="L338" s="53"/>
      <c r="M338" s="53"/>
      <c r="N338" s="53"/>
      <c r="O338" s="53"/>
      <c r="P338" s="54"/>
      <c r="Q338" s="53"/>
      <c r="R338" s="53"/>
    </row>
    <row r="339" spans="1:18">
      <c r="A339" s="53"/>
      <c r="B339" s="3"/>
      <c r="C339" s="9"/>
      <c r="D339" s="3"/>
      <c r="E339" s="3"/>
      <c r="F339" s="3"/>
      <c r="G339" s="53"/>
      <c r="H339" s="53"/>
      <c r="I339" s="53"/>
      <c r="J339" s="54"/>
      <c r="K339" s="53"/>
      <c r="L339" s="53"/>
      <c r="M339" s="53"/>
      <c r="N339" s="53"/>
      <c r="O339" s="53"/>
      <c r="P339" s="54"/>
      <c r="Q339" s="53"/>
      <c r="R339" s="53"/>
    </row>
    <row r="340" spans="1:18">
      <c r="A340" s="53"/>
      <c r="B340" s="3"/>
      <c r="C340" s="9"/>
      <c r="D340" s="3"/>
      <c r="E340" s="3"/>
      <c r="F340" s="3"/>
      <c r="G340" s="53"/>
      <c r="H340" s="53"/>
      <c r="I340" s="53"/>
      <c r="J340" s="54"/>
      <c r="K340" s="53"/>
      <c r="L340" s="53"/>
      <c r="M340" s="53"/>
      <c r="N340" s="53"/>
      <c r="O340" s="53"/>
      <c r="P340" s="54"/>
      <c r="Q340" s="53"/>
      <c r="R340" s="53"/>
    </row>
    <row r="341" spans="1:18">
      <c r="A341" s="53"/>
      <c r="B341" s="3"/>
      <c r="C341" s="9"/>
      <c r="D341" s="3"/>
      <c r="E341" s="3"/>
      <c r="F341" s="3"/>
      <c r="G341" s="53"/>
      <c r="H341" s="53"/>
      <c r="I341" s="53"/>
      <c r="J341" s="54"/>
      <c r="K341" s="53"/>
      <c r="L341" s="53"/>
      <c r="M341" s="53"/>
      <c r="N341" s="53"/>
      <c r="O341" s="53"/>
      <c r="P341" s="54"/>
      <c r="Q341" s="53"/>
      <c r="R341" s="53"/>
    </row>
    <row r="342" spans="1:18">
      <c r="A342" s="53"/>
      <c r="B342" s="3"/>
      <c r="C342" s="9"/>
      <c r="D342" s="3"/>
      <c r="E342" s="3"/>
      <c r="F342" s="3"/>
      <c r="G342" s="53"/>
      <c r="H342" s="53"/>
      <c r="I342" s="53"/>
      <c r="J342" s="54"/>
      <c r="K342" s="53"/>
      <c r="L342" s="53"/>
      <c r="M342" s="53"/>
      <c r="N342" s="53"/>
      <c r="O342" s="53"/>
      <c r="P342" s="54"/>
      <c r="Q342" s="53"/>
      <c r="R342" s="53"/>
    </row>
    <row r="343" spans="1:18">
      <c r="A343" s="53"/>
      <c r="B343" s="3"/>
      <c r="C343" s="9"/>
      <c r="D343" s="3"/>
      <c r="E343" s="3"/>
      <c r="F343" s="3"/>
      <c r="G343" s="53"/>
      <c r="H343" s="53"/>
      <c r="I343" s="53"/>
      <c r="J343" s="54"/>
      <c r="K343" s="53"/>
      <c r="L343" s="53"/>
      <c r="M343" s="53"/>
      <c r="N343" s="53"/>
      <c r="O343" s="53"/>
      <c r="P343" s="54"/>
      <c r="Q343" s="53"/>
      <c r="R343" s="53"/>
    </row>
    <row r="344" spans="1:18">
      <c r="A344" s="53"/>
      <c r="B344" s="3"/>
      <c r="C344" s="9"/>
      <c r="D344" s="3"/>
      <c r="E344" s="3"/>
      <c r="F344" s="3"/>
      <c r="G344" s="53"/>
      <c r="H344" s="53"/>
      <c r="I344" s="53"/>
      <c r="J344" s="54"/>
      <c r="K344" s="53"/>
      <c r="L344" s="53"/>
      <c r="M344" s="53"/>
      <c r="N344" s="53"/>
      <c r="O344" s="53"/>
      <c r="P344" s="54"/>
      <c r="Q344" s="53"/>
      <c r="R344" s="53"/>
    </row>
    <row r="345" spans="1:18">
      <c r="A345" s="53"/>
      <c r="B345" s="3"/>
      <c r="C345" s="9"/>
      <c r="D345" s="3"/>
      <c r="E345" s="3"/>
      <c r="F345" s="3"/>
      <c r="G345" s="53"/>
      <c r="H345" s="53"/>
      <c r="I345" s="53"/>
      <c r="J345" s="54"/>
      <c r="K345" s="53"/>
      <c r="L345" s="53"/>
      <c r="M345" s="53"/>
      <c r="N345" s="53"/>
      <c r="O345" s="53"/>
      <c r="P345" s="54"/>
      <c r="Q345" s="53"/>
      <c r="R345" s="53"/>
    </row>
    <row r="346" spans="1:18">
      <c r="A346" s="53"/>
      <c r="B346" s="3"/>
      <c r="C346" s="9"/>
      <c r="D346" s="3"/>
      <c r="E346" s="3"/>
      <c r="F346" s="3"/>
      <c r="G346" s="53"/>
      <c r="H346" s="53"/>
      <c r="I346" s="53"/>
      <c r="J346" s="54"/>
      <c r="K346" s="53"/>
      <c r="L346" s="53"/>
      <c r="M346" s="53"/>
      <c r="N346" s="53"/>
      <c r="O346" s="53"/>
      <c r="P346" s="54"/>
      <c r="Q346" s="53"/>
      <c r="R346" s="53"/>
    </row>
    <row r="347" spans="1:18">
      <c r="A347" s="53"/>
      <c r="B347" s="3"/>
      <c r="C347" s="9"/>
      <c r="D347" s="3"/>
      <c r="E347" s="3"/>
      <c r="F347" s="3"/>
      <c r="G347" s="53"/>
      <c r="H347" s="53"/>
      <c r="I347" s="53"/>
      <c r="J347" s="54"/>
      <c r="K347" s="53"/>
      <c r="L347" s="53"/>
      <c r="M347" s="53"/>
      <c r="N347" s="53"/>
      <c r="O347" s="53"/>
      <c r="P347" s="54"/>
      <c r="Q347" s="53"/>
      <c r="R347" s="53"/>
    </row>
    <row r="348" spans="1:18">
      <c r="A348" s="53"/>
      <c r="B348" s="3"/>
      <c r="C348" s="9"/>
      <c r="D348" s="3"/>
      <c r="E348" s="3"/>
      <c r="F348" s="3"/>
      <c r="G348" s="53"/>
      <c r="H348" s="53"/>
      <c r="I348" s="53"/>
      <c r="J348" s="54"/>
      <c r="K348" s="53"/>
      <c r="L348" s="53"/>
      <c r="M348" s="53"/>
      <c r="N348" s="53"/>
      <c r="O348" s="53"/>
      <c r="P348" s="54"/>
      <c r="Q348" s="53"/>
      <c r="R348" s="53"/>
    </row>
    <row r="349" spans="1:18">
      <c r="A349" s="53"/>
      <c r="B349" s="3"/>
      <c r="C349" s="9"/>
      <c r="D349" s="3"/>
      <c r="E349" s="3"/>
      <c r="F349" s="3"/>
      <c r="G349" s="53"/>
      <c r="H349" s="53"/>
      <c r="I349" s="53"/>
      <c r="J349" s="54"/>
      <c r="K349" s="53"/>
      <c r="L349" s="53"/>
      <c r="M349" s="53"/>
      <c r="N349" s="53"/>
      <c r="O349" s="53"/>
      <c r="P349" s="54"/>
      <c r="Q349" s="53"/>
      <c r="R349" s="53"/>
    </row>
    <row r="350" spans="1:18">
      <c r="A350" s="53"/>
      <c r="B350" s="3"/>
      <c r="C350" s="9"/>
      <c r="D350" s="3"/>
      <c r="E350" s="3"/>
      <c r="F350" s="3"/>
      <c r="G350" s="53"/>
      <c r="H350" s="53"/>
      <c r="I350" s="53"/>
      <c r="J350" s="54"/>
      <c r="K350" s="53"/>
      <c r="L350" s="53"/>
      <c r="M350" s="53"/>
      <c r="N350" s="53"/>
      <c r="O350" s="53"/>
      <c r="P350" s="54"/>
      <c r="Q350" s="53"/>
      <c r="R350" s="53"/>
    </row>
    <row r="351" spans="1:18">
      <c r="A351" s="53"/>
      <c r="B351" s="3"/>
      <c r="C351" s="9"/>
      <c r="D351" s="3"/>
      <c r="E351" s="3"/>
      <c r="F351" s="3"/>
      <c r="G351" s="53"/>
      <c r="H351" s="53"/>
      <c r="I351" s="53"/>
      <c r="J351" s="54"/>
      <c r="K351" s="53"/>
      <c r="L351" s="53"/>
      <c r="M351" s="53"/>
      <c r="N351" s="53"/>
      <c r="O351" s="53"/>
      <c r="P351" s="54"/>
      <c r="Q351" s="53"/>
      <c r="R351" s="53"/>
    </row>
    <row r="352" spans="1:18">
      <c r="A352" s="53"/>
      <c r="B352" s="3"/>
      <c r="C352" s="9"/>
      <c r="D352" s="3"/>
      <c r="E352" s="3"/>
      <c r="F352" s="3"/>
      <c r="G352" s="53"/>
      <c r="H352" s="53"/>
      <c r="I352" s="53"/>
      <c r="J352" s="54"/>
      <c r="K352" s="53"/>
      <c r="L352" s="53"/>
      <c r="M352" s="53"/>
      <c r="N352" s="53"/>
      <c r="O352" s="53"/>
      <c r="P352" s="54"/>
      <c r="Q352" s="53"/>
      <c r="R352" s="53"/>
    </row>
    <row r="353" spans="1:18">
      <c r="A353" s="53"/>
      <c r="B353" s="3"/>
      <c r="C353" s="9"/>
      <c r="D353" s="3"/>
      <c r="E353" s="3"/>
      <c r="F353" s="3"/>
      <c r="G353" s="53"/>
      <c r="H353" s="53"/>
      <c r="I353" s="53"/>
      <c r="J353" s="54"/>
      <c r="K353" s="53"/>
      <c r="L353" s="53"/>
      <c r="M353" s="53"/>
      <c r="N353" s="53"/>
      <c r="O353" s="53"/>
      <c r="P353" s="54"/>
      <c r="Q353" s="53"/>
      <c r="R353" s="53"/>
    </row>
    <row r="354" spans="1:18">
      <c r="A354" s="53"/>
      <c r="B354" s="3"/>
      <c r="C354" s="9"/>
      <c r="D354" s="3"/>
      <c r="E354" s="3"/>
      <c r="F354" s="3"/>
      <c r="G354" s="53"/>
      <c r="H354" s="53"/>
      <c r="I354" s="53"/>
      <c r="J354" s="54"/>
      <c r="K354" s="53"/>
      <c r="L354" s="53"/>
      <c r="M354" s="53"/>
      <c r="N354" s="53"/>
      <c r="O354" s="53"/>
      <c r="P354" s="54"/>
      <c r="Q354" s="53"/>
      <c r="R354" s="53"/>
    </row>
    <row r="355" spans="1:18">
      <c r="A355" s="53"/>
      <c r="B355" s="3"/>
      <c r="C355" s="9"/>
      <c r="D355" s="3"/>
      <c r="E355" s="3"/>
      <c r="F355" s="3"/>
      <c r="G355" s="53"/>
      <c r="H355" s="53"/>
      <c r="I355" s="53"/>
      <c r="J355" s="54"/>
      <c r="K355" s="53"/>
      <c r="L355" s="53"/>
      <c r="M355" s="53"/>
      <c r="N355" s="53"/>
      <c r="O355" s="53"/>
      <c r="P355" s="54"/>
      <c r="Q355" s="53"/>
      <c r="R355" s="53"/>
    </row>
    <row r="356" spans="1:18">
      <c r="A356" s="53"/>
      <c r="B356" s="3"/>
      <c r="C356" s="9"/>
      <c r="D356" s="3"/>
      <c r="E356" s="3"/>
      <c r="F356" s="3"/>
      <c r="G356" s="53"/>
      <c r="H356" s="53"/>
      <c r="I356" s="53"/>
      <c r="J356" s="54"/>
      <c r="K356" s="53"/>
      <c r="L356" s="53"/>
      <c r="M356" s="53"/>
      <c r="N356" s="53"/>
      <c r="O356" s="53"/>
      <c r="P356" s="54"/>
      <c r="Q356" s="53"/>
      <c r="R356" s="53"/>
    </row>
    <row r="357" spans="1:18">
      <c r="A357" s="53"/>
      <c r="B357" s="3"/>
      <c r="C357" s="9"/>
      <c r="D357" s="3"/>
      <c r="E357" s="3"/>
      <c r="F357" s="3"/>
      <c r="G357" s="53"/>
      <c r="H357" s="53"/>
      <c r="I357" s="53"/>
      <c r="J357" s="54"/>
      <c r="K357" s="53"/>
      <c r="L357" s="53"/>
      <c r="M357" s="53"/>
      <c r="N357" s="53"/>
      <c r="O357" s="53"/>
      <c r="P357" s="54"/>
      <c r="Q357" s="53"/>
      <c r="R357" s="53"/>
    </row>
    <row r="358" spans="1:18">
      <c r="A358" s="53"/>
      <c r="B358" s="3"/>
      <c r="C358" s="9"/>
      <c r="D358" s="3"/>
      <c r="E358" s="3"/>
      <c r="F358" s="3"/>
      <c r="G358" s="53"/>
      <c r="H358" s="53"/>
      <c r="I358" s="53"/>
      <c r="J358" s="54"/>
      <c r="K358" s="53"/>
      <c r="L358" s="53"/>
      <c r="M358" s="53"/>
      <c r="N358" s="53"/>
      <c r="O358" s="53"/>
      <c r="P358" s="54"/>
      <c r="Q358" s="53"/>
      <c r="R358" s="53"/>
    </row>
    <row r="359" spans="1:18">
      <c r="A359" s="53"/>
      <c r="B359" s="3"/>
      <c r="C359" s="9"/>
      <c r="D359" s="3"/>
      <c r="E359" s="3"/>
      <c r="F359" s="3"/>
      <c r="G359" s="53"/>
      <c r="H359" s="53"/>
      <c r="I359" s="53"/>
      <c r="J359" s="54"/>
      <c r="K359" s="53"/>
      <c r="L359" s="53"/>
      <c r="M359" s="53"/>
      <c r="N359" s="53"/>
      <c r="O359" s="53"/>
      <c r="P359" s="54"/>
      <c r="Q359" s="53"/>
      <c r="R359" s="53"/>
    </row>
    <row r="360" spans="1:18">
      <c r="A360" s="53"/>
      <c r="B360" s="3"/>
      <c r="C360" s="9"/>
      <c r="D360" s="3"/>
      <c r="E360" s="3"/>
      <c r="F360" s="3"/>
      <c r="G360" s="53"/>
      <c r="H360" s="53"/>
      <c r="I360" s="53"/>
      <c r="J360" s="54"/>
      <c r="K360" s="53"/>
      <c r="L360" s="53"/>
      <c r="M360" s="53"/>
      <c r="N360" s="53"/>
      <c r="O360" s="53"/>
      <c r="P360" s="54"/>
      <c r="Q360" s="53"/>
      <c r="R360" s="53"/>
    </row>
    <row r="361" spans="1:18">
      <c r="A361" s="53"/>
      <c r="B361" s="3"/>
      <c r="C361" s="9"/>
      <c r="D361" s="3"/>
      <c r="E361" s="3"/>
      <c r="F361" s="3"/>
      <c r="G361" s="53"/>
      <c r="H361" s="53"/>
      <c r="I361" s="53"/>
      <c r="J361" s="54"/>
      <c r="K361" s="53"/>
      <c r="L361" s="53"/>
      <c r="M361" s="53"/>
      <c r="N361" s="53"/>
      <c r="O361" s="53"/>
      <c r="P361" s="54"/>
      <c r="Q361" s="53"/>
      <c r="R361" s="53"/>
    </row>
    <row r="362" spans="1:18">
      <c r="A362" s="53"/>
      <c r="B362" s="3"/>
      <c r="C362" s="9"/>
      <c r="D362" s="3"/>
      <c r="E362" s="3"/>
      <c r="F362" s="3"/>
      <c r="G362" s="53"/>
      <c r="H362" s="53"/>
      <c r="I362" s="53"/>
      <c r="J362" s="54"/>
      <c r="K362" s="53"/>
      <c r="L362" s="53"/>
      <c r="M362" s="53"/>
      <c r="N362" s="53"/>
      <c r="O362" s="53"/>
      <c r="P362" s="54"/>
      <c r="Q362" s="53"/>
      <c r="R362" s="53"/>
    </row>
    <row r="363" spans="1:18">
      <c r="A363" s="53"/>
      <c r="B363" s="3"/>
      <c r="C363" s="9"/>
      <c r="D363" s="3"/>
      <c r="E363" s="3"/>
      <c r="F363" s="3"/>
      <c r="G363" s="53"/>
      <c r="H363" s="53"/>
      <c r="I363" s="53"/>
      <c r="J363" s="54"/>
      <c r="K363" s="53"/>
      <c r="L363" s="53"/>
      <c r="M363" s="53"/>
      <c r="N363" s="53"/>
      <c r="O363" s="53"/>
      <c r="P363" s="54"/>
      <c r="Q363" s="53"/>
      <c r="R363" s="53"/>
    </row>
    <row r="364" spans="1:18">
      <c r="A364" s="53"/>
      <c r="B364" s="3"/>
      <c r="C364" s="9"/>
      <c r="D364" s="3"/>
      <c r="E364" s="3"/>
      <c r="F364" s="3"/>
      <c r="G364" s="53"/>
      <c r="H364" s="53"/>
      <c r="I364" s="53"/>
      <c r="J364" s="54"/>
      <c r="K364" s="53"/>
      <c r="L364" s="53"/>
      <c r="M364" s="53"/>
      <c r="N364" s="53"/>
      <c r="O364" s="53"/>
      <c r="P364" s="54"/>
      <c r="Q364" s="53"/>
      <c r="R364" s="53"/>
    </row>
    <row r="365" spans="1:18">
      <c r="A365" s="53"/>
      <c r="B365" s="3"/>
      <c r="C365" s="9"/>
      <c r="D365" s="3"/>
      <c r="E365" s="3"/>
      <c r="F365" s="3"/>
      <c r="G365" s="53"/>
      <c r="H365" s="53"/>
      <c r="I365" s="53"/>
      <c r="J365" s="54"/>
      <c r="K365" s="53"/>
      <c r="L365" s="53"/>
      <c r="M365" s="53"/>
      <c r="N365" s="53"/>
      <c r="O365" s="53"/>
      <c r="P365" s="54"/>
      <c r="Q365" s="53"/>
      <c r="R365" s="53"/>
    </row>
    <row r="366" spans="1:18">
      <c r="A366" s="53"/>
      <c r="B366" s="3"/>
      <c r="C366" s="9"/>
      <c r="D366" s="3"/>
      <c r="E366" s="3"/>
      <c r="F366" s="3"/>
      <c r="G366" s="53"/>
      <c r="H366" s="53"/>
      <c r="I366" s="53"/>
      <c r="J366" s="54"/>
      <c r="K366" s="53"/>
      <c r="L366" s="53"/>
      <c r="M366" s="53"/>
      <c r="N366" s="53"/>
      <c r="O366" s="53"/>
      <c r="P366" s="54"/>
      <c r="Q366" s="53"/>
      <c r="R366" s="53"/>
    </row>
    <row r="367" spans="1:18">
      <c r="A367" s="53"/>
      <c r="B367" s="3"/>
      <c r="C367" s="9"/>
      <c r="D367" s="3"/>
      <c r="E367" s="3"/>
      <c r="F367" s="3"/>
      <c r="G367" s="53"/>
      <c r="H367" s="53"/>
      <c r="I367" s="53"/>
      <c r="J367" s="54"/>
      <c r="K367" s="53"/>
      <c r="L367" s="53"/>
      <c r="M367" s="53"/>
      <c r="N367" s="53"/>
      <c r="O367" s="53"/>
      <c r="P367" s="54"/>
      <c r="Q367" s="53"/>
      <c r="R367" s="53"/>
    </row>
    <row r="368" spans="1:18">
      <c r="A368" s="53"/>
      <c r="B368" s="3"/>
      <c r="C368" s="9"/>
      <c r="D368" s="3"/>
      <c r="E368" s="3"/>
      <c r="F368" s="3"/>
      <c r="G368" s="53"/>
      <c r="H368" s="53"/>
      <c r="I368" s="53"/>
      <c r="J368" s="54"/>
      <c r="K368" s="53"/>
      <c r="L368" s="53"/>
      <c r="M368" s="53"/>
      <c r="N368" s="53"/>
      <c r="O368" s="53"/>
      <c r="P368" s="54"/>
      <c r="Q368" s="53"/>
      <c r="R368" s="53"/>
    </row>
    <row r="369" spans="1:18">
      <c r="A369" s="53"/>
      <c r="B369" s="3"/>
      <c r="C369" s="9"/>
      <c r="D369" s="3"/>
      <c r="E369" s="3"/>
      <c r="F369" s="3"/>
      <c r="G369" s="53"/>
      <c r="H369" s="53"/>
      <c r="I369" s="53"/>
      <c r="J369" s="54"/>
      <c r="K369" s="53"/>
      <c r="L369" s="53"/>
      <c r="M369" s="53"/>
      <c r="N369" s="53"/>
      <c r="O369" s="53"/>
      <c r="P369" s="54"/>
      <c r="Q369" s="53"/>
      <c r="R369" s="53"/>
    </row>
    <row r="370" spans="1:18">
      <c r="A370" s="53"/>
      <c r="B370" s="3"/>
      <c r="C370" s="9"/>
      <c r="D370" s="3"/>
      <c r="E370" s="3"/>
      <c r="F370" s="3"/>
      <c r="G370" s="53"/>
      <c r="H370" s="53"/>
      <c r="I370" s="53"/>
      <c r="J370" s="54"/>
      <c r="K370" s="53"/>
      <c r="L370" s="53"/>
      <c r="M370" s="53"/>
      <c r="N370" s="53"/>
      <c r="O370" s="53"/>
      <c r="P370" s="54"/>
      <c r="Q370" s="53"/>
      <c r="R370" s="53"/>
    </row>
    <row r="371" spans="1:18">
      <c r="A371" s="53"/>
      <c r="B371" s="3"/>
      <c r="C371" s="9"/>
      <c r="D371" s="3"/>
      <c r="E371" s="3"/>
      <c r="F371" s="3"/>
      <c r="G371" s="53"/>
      <c r="H371" s="53"/>
      <c r="I371" s="53"/>
      <c r="J371" s="54"/>
      <c r="K371" s="53"/>
      <c r="L371" s="53"/>
      <c r="M371" s="53"/>
      <c r="N371" s="53"/>
      <c r="O371" s="53"/>
      <c r="P371" s="54"/>
      <c r="Q371" s="53"/>
      <c r="R371" s="53"/>
    </row>
    <row r="372" spans="1:18">
      <c r="A372" s="53"/>
      <c r="B372" s="3"/>
      <c r="C372" s="9"/>
      <c r="D372" s="3"/>
      <c r="E372" s="3"/>
      <c r="F372" s="3"/>
      <c r="G372" s="53"/>
      <c r="H372" s="53"/>
      <c r="I372" s="53"/>
      <c r="J372" s="54"/>
      <c r="K372" s="53"/>
      <c r="L372" s="53"/>
      <c r="M372" s="53"/>
      <c r="N372" s="53"/>
      <c r="O372" s="53"/>
      <c r="P372" s="54"/>
      <c r="Q372" s="53"/>
      <c r="R372" s="53"/>
    </row>
    <row r="373" spans="1:18">
      <c r="A373" s="53"/>
      <c r="B373" s="3"/>
      <c r="C373" s="9"/>
      <c r="D373" s="3"/>
      <c r="E373" s="3"/>
      <c r="F373" s="3"/>
      <c r="G373" s="53"/>
      <c r="H373" s="53"/>
      <c r="I373" s="53"/>
      <c r="J373" s="54"/>
      <c r="K373" s="53"/>
      <c r="L373" s="53"/>
      <c r="M373" s="53"/>
      <c r="N373" s="53"/>
      <c r="O373" s="53"/>
      <c r="P373" s="54"/>
      <c r="Q373" s="53"/>
      <c r="R373" s="53"/>
    </row>
    <row r="374" spans="1:18">
      <c r="A374" s="53"/>
      <c r="B374" s="3"/>
      <c r="C374" s="9"/>
      <c r="D374" s="3"/>
      <c r="E374" s="3"/>
      <c r="F374" s="3"/>
      <c r="G374" s="53"/>
      <c r="H374" s="53"/>
      <c r="I374" s="53"/>
      <c r="J374" s="54"/>
      <c r="K374" s="53"/>
      <c r="L374" s="53"/>
      <c r="M374" s="53"/>
      <c r="N374" s="53"/>
      <c r="O374" s="53"/>
      <c r="P374" s="54"/>
      <c r="Q374" s="53"/>
      <c r="R374" s="53"/>
    </row>
    <row r="375" spans="1:18">
      <c r="A375" s="53"/>
      <c r="B375" s="3"/>
      <c r="C375" s="9"/>
      <c r="D375" s="3"/>
      <c r="E375" s="3"/>
      <c r="F375" s="3"/>
      <c r="G375" s="53"/>
      <c r="H375" s="53"/>
      <c r="I375" s="53"/>
      <c r="J375" s="54"/>
      <c r="K375" s="53"/>
      <c r="L375" s="53"/>
      <c r="M375" s="53"/>
      <c r="N375" s="53"/>
      <c r="O375" s="53"/>
      <c r="P375" s="54"/>
      <c r="Q375" s="53"/>
      <c r="R375" s="53"/>
    </row>
    <row r="376" spans="1:18">
      <c r="A376" s="53"/>
      <c r="B376" s="3"/>
      <c r="C376" s="9"/>
      <c r="D376" s="3"/>
      <c r="E376" s="3"/>
      <c r="F376" s="3"/>
      <c r="G376" s="53"/>
      <c r="H376" s="53"/>
      <c r="I376" s="53"/>
      <c r="J376" s="54"/>
      <c r="K376" s="53"/>
      <c r="L376" s="53"/>
      <c r="M376" s="53"/>
      <c r="N376" s="53"/>
      <c r="O376" s="53"/>
      <c r="P376" s="54"/>
      <c r="Q376" s="53"/>
      <c r="R376" s="53"/>
    </row>
    <row r="377" spans="1:18">
      <c r="A377" s="53"/>
      <c r="B377" s="3"/>
      <c r="C377" s="9"/>
      <c r="D377" s="3"/>
      <c r="E377" s="3"/>
      <c r="F377" s="3"/>
      <c r="G377" s="53"/>
      <c r="H377" s="53"/>
      <c r="I377" s="53"/>
      <c r="J377" s="54"/>
      <c r="K377" s="53"/>
      <c r="L377" s="53"/>
      <c r="M377" s="53"/>
      <c r="N377" s="53"/>
      <c r="O377" s="53"/>
      <c r="P377" s="54"/>
      <c r="Q377" s="53"/>
      <c r="R377" s="53"/>
    </row>
    <row r="378" spans="1:18">
      <c r="A378" s="53"/>
      <c r="B378" s="3"/>
      <c r="C378" s="9"/>
      <c r="D378" s="3"/>
      <c r="E378" s="3"/>
      <c r="F378" s="3"/>
      <c r="G378" s="53"/>
      <c r="H378" s="53"/>
      <c r="I378" s="53"/>
      <c r="J378" s="54"/>
      <c r="K378" s="53"/>
      <c r="L378" s="53"/>
      <c r="M378" s="53"/>
      <c r="N378" s="53"/>
      <c r="O378" s="53"/>
      <c r="P378" s="54"/>
      <c r="Q378" s="53"/>
      <c r="R378" s="53"/>
    </row>
    <row r="379" spans="1:18">
      <c r="A379" s="53"/>
      <c r="B379" s="3"/>
      <c r="C379" s="9"/>
      <c r="D379" s="3"/>
      <c r="E379" s="3"/>
      <c r="F379" s="3"/>
      <c r="G379" s="53"/>
      <c r="H379" s="53"/>
      <c r="I379" s="53"/>
      <c r="J379" s="54"/>
      <c r="K379" s="53"/>
      <c r="L379" s="53"/>
      <c r="M379" s="53"/>
      <c r="N379" s="53"/>
      <c r="O379" s="53"/>
      <c r="P379" s="54"/>
      <c r="Q379" s="53"/>
      <c r="R379" s="53"/>
    </row>
    <row r="380" spans="1:18">
      <c r="A380" s="53"/>
      <c r="B380" s="3"/>
      <c r="C380" s="9"/>
      <c r="D380" s="3"/>
      <c r="E380" s="3"/>
      <c r="F380" s="3"/>
      <c r="G380" s="53"/>
      <c r="H380" s="53"/>
      <c r="I380" s="53"/>
      <c r="J380" s="54"/>
      <c r="K380" s="53"/>
      <c r="L380" s="53"/>
      <c r="M380" s="53"/>
      <c r="N380" s="53"/>
      <c r="O380" s="53"/>
      <c r="P380" s="54"/>
      <c r="Q380" s="53"/>
      <c r="R380" s="53"/>
    </row>
    <row r="381" spans="1:18">
      <c r="A381" s="53"/>
      <c r="B381" s="3"/>
      <c r="C381" s="9"/>
      <c r="D381" s="3"/>
      <c r="E381" s="3"/>
      <c r="F381" s="3"/>
      <c r="G381" s="53"/>
      <c r="H381" s="53"/>
      <c r="I381" s="53"/>
      <c r="J381" s="54"/>
      <c r="K381" s="53"/>
      <c r="L381" s="53"/>
      <c r="M381" s="53"/>
      <c r="N381" s="53"/>
      <c r="O381" s="53"/>
      <c r="P381" s="54"/>
      <c r="Q381" s="53"/>
      <c r="R381" s="53"/>
    </row>
    <row r="382" spans="1:18">
      <c r="A382" s="53"/>
      <c r="B382" s="3"/>
      <c r="C382" s="9"/>
      <c r="D382" s="3"/>
      <c r="E382" s="3"/>
      <c r="F382" s="3"/>
      <c r="G382" s="53"/>
      <c r="H382" s="53"/>
      <c r="I382" s="53"/>
      <c r="J382" s="54"/>
      <c r="K382" s="53"/>
      <c r="L382" s="53"/>
      <c r="M382" s="53"/>
      <c r="N382" s="53"/>
      <c r="O382" s="53"/>
      <c r="P382" s="54"/>
      <c r="Q382" s="53"/>
      <c r="R382" s="53"/>
    </row>
    <row r="383" spans="1:18">
      <c r="A383" s="53"/>
      <c r="B383" s="3"/>
      <c r="C383" s="9"/>
      <c r="D383" s="3"/>
      <c r="E383" s="3"/>
      <c r="F383" s="3"/>
      <c r="G383" s="53"/>
      <c r="H383" s="53"/>
      <c r="I383" s="53"/>
      <c r="J383" s="54"/>
      <c r="K383" s="53"/>
      <c r="L383" s="53"/>
      <c r="M383" s="53"/>
      <c r="N383" s="53"/>
      <c r="O383" s="53"/>
      <c r="P383" s="54"/>
      <c r="Q383" s="53"/>
      <c r="R383" s="53"/>
    </row>
    <row r="384" spans="1:18">
      <c r="A384" s="53"/>
      <c r="B384" s="3"/>
      <c r="C384" s="9"/>
      <c r="D384" s="3"/>
      <c r="E384" s="3"/>
      <c r="F384" s="3"/>
      <c r="G384" s="53"/>
      <c r="H384" s="53"/>
      <c r="I384" s="53"/>
      <c r="J384" s="54"/>
      <c r="K384" s="53"/>
      <c r="L384" s="53"/>
      <c r="M384" s="53"/>
      <c r="N384" s="53"/>
      <c r="O384" s="53"/>
      <c r="P384" s="54"/>
      <c r="Q384" s="53"/>
      <c r="R384" s="53"/>
    </row>
    <row r="385" spans="1:18">
      <c r="A385" s="53"/>
      <c r="B385" s="3"/>
      <c r="C385" s="9"/>
      <c r="D385" s="3"/>
      <c r="E385" s="3"/>
      <c r="F385" s="3"/>
      <c r="G385" s="53"/>
      <c r="H385" s="53"/>
      <c r="I385" s="53"/>
      <c r="J385" s="54"/>
      <c r="K385" s="53"/>
      <c r="L385" s="53"/>
      <c r="M385" s="53"/>
      <c r="N385" s="53"/>
      <c r="O385" s="53"/>
      <c r="P385" s="54"/>
      <c r="Q385" s="53"/>
      <c r="R385" s="53"/>
    </row>
    <row r="386" spans="1:18">
      <c r="A386" s="53"/>
      <c r="B386" s="3"/>
      <c r="C386" s="9"/>
      <c r="D386" s="3"/>
      <c r="E386" s="3"/>
      <c r="F386" s="3"/>
      <c r="G386" s="53"/>
      <c r="H386" s="53"/>
      <c r="I386" s="53"/>
      <c r="J386" s="54"/>
      <c r="K386" s="53"/>
      <c r="L386" s="53"/>
      <c r="M386" s="53"/>
      <c r="N386" s="53"/>
      <c r="O386" s="53"/>
      <c r="P386" s="54"/>
      <c r="Q386" s="53"/>
      <c r="R386" s="53"/>
    </row>
    <row r="387" spans="1:18">
      <c r="A387" s="53"/>
      <c r="B387" s="3"/>
      <c r="C387" s="9"/>
      <c r="D387" s="3"/>
      <c r="E387" s="3"/>
      <c r="F387" s="3"/>
      <c r="G387" s="53"/>
      <c r="H387" s="53"/>
      <c r="I387" s="53"/>
      <c r="J387" s="54"/>
      <c r="K387" s="53"/>
      <c r="L387" s="53"/>
      <c r="M387" s="53"/>
      <c r="N387" s="53"/>
      <c r="O387" s="53"/>
      <c r="P387" s="54"/>
      <c r="Q387" s="53"/>
      <c r="R387" s="53"/>
    </row>
    <row r="388" spans="1:18">
      <c r="A388" s="53"/>
      <c r="B388" s="3"/>
      <c r="C388" s="9"/>
      <c r="D388" s="3"/>
      <c r="E388" s="3"/>
      <c r="F388" s="3"/>
      <c r="G388" s="53"/>
      <c r="H388" s="53"/>
      <c r="I388" s="53"/>
      <c r="J388" s="54"/>
      <c r="K388" s="53"/>
      <c r="L388" s="53"/>
      <c r="M388" s="53"/>
      <c r="N388" s="53"/>
      <c r="O388" s="53"/>
      <c r="P388" s="54"/>
      <c r="Q388" s="53"/>
      <c r="R388" s="53"/>
    </row>
    <row r="389" spans="1:18">
      <c r="A389" s="53"/>
      <c r="B389" s="3"/>
      <c r="C389" s="9"/>
      <c r="D389" s="3"/>
      <c r="E389" s="3"/>
      <c r="F389" s="3"/>
      <c r="G389" s="53"/>
      <c r="H389" s="53"/>
      <c r="I389" s="53"/>
      <c r="J389" s="54"/>
      <c r="K389" s="53"/>
      <c r="L389" s="53"/>
      <c r="M389" s="53"/>
      <c r="N389" s="53"/>
      <c r="O389" s="53"/>
      <c r="P389" s="54"/>
      <c r="Q389" s="53"/>
      <c r="R389" s="53"/>
    </row>
    <row r="390" spans="1:18">
      <c r="A390" s="53"/>
      <c r="B390" s="3"/>
      <c r="C390" s="9"/>
      <c r="D390" s="3"/>
      <c r="E390" s="3"/>
      <c r="F390" s="3"/>
      <c r="G390" s="53"/>
      <c r="H390" s="53"/>
      <c r="I390" s="53"/>
      <c r="J390" s="54"/>
      <c r="K390" s="53"/>
      <c r="L390" s="53"/>
      <c r="M390" s="53"/>
      <c r="N390" s="53"/>
      <c r="O390" s="53"/>
      <c r="P390" s="54"/>
      <c r="Q390" s="53"/>
      <c r="R390" s="53"/>
    </row>
    <row r="391" spans="1:18">
      <c r="A391" s="53"/>
      <c r="B391" s="3"/>
      <c r="C391" s="9"/>
      <c r="D391" s="3"/>
      <c r="E391" s="3"/>
      <c r="F391" s="3"/>
      <c r="G391" s="53"/>
      <c r="H391" s="53"/>
      <c r="I391" s="53"/>
      <c r="J391" s="54"/>
      <c r="K391" s="53"/>
      <c r="L391" s="53"/>
      <c r="M391" s="53"/>
      <c r="N391" s="53"/>
      <c r="O391" s="53"/>
      <c r="P391" s="54"/>
      <c r="Q391" s="53"/>
      <c r="R391" s="53"/>
    </row>
    <row r="392" spans="1:18">
      <c r="A392" s="53"/>
      <c r="B392" s="3"/>
      <c r="C392" s="9"/>
      <c r="D392" s="3"/>
      <c r="E392" s="3"/>
      <c r="F392" s="3"/>
      <c r="G392" s="53"/>
      <c r="H392" s="53"/>
      <c r="I392" s="53"/>
      <c r="J392" s="54"/>
      <c r="K392" s="53"/>
      <c r="L392" s="53"/>
      <c r="M392" s="53"/>
      <c r="N392" s="53"/>
      <c r="O392" s="53"/>
      <c r="P392" s="54"/>
      <c r="Q392" s="53"/>
      <c r="R392" s="53"/>
    </row>
    <row r="393" spans="1:18">
      <c r="A393" s="53"/>
      <c r="B393" s="3"/>
      <c r="C393" s="9"/>
      <c r="D393" s="3"/>
      <c r="E393" s="3"/>
      <c r="F393" s="3"/>
      <c r="G393" s="53"/>
      <c r="H393" s="53"/>
      <c r="I393" s="53"/>
      <c r="J393" s="54"/>
      <c r="K393" s="53"/>
      <c r="L393" s="53"/>
      <c r="M393" s="53"/>
      <c r="N393" s="53"/>
      <c r="O393" s="53"/>
      <c r="P393" s="54"/>
      <c r="Q393" s="53"/>
      <c r="R393" s="53"/>
    </row>
    <row r="394" spans="1:18">
      <c r="A394" s="53"/>
      <c r="B394" s="3"/>
      <c r="C394" s="9"/>
      <c r="D394" s="3"/>
      <c r="E394" s="3"/>
      <c r="F394" s="3"/>
      <c r="G394" s="53"/>
      <c r="H394" s="53"/>
      <c r="I394" s="53"/>
      <c r="J394" s="54"/>
      <c r="K394" s="53"/>
      <c r="L394" s="53"/>
      <c r="M394" s="53"/>
      <c r="N394" s="53"/>
      <c r="O394" s="53"/>
      <c r="P394" s="54"/>
      <c r="Q394" s="53"/>
      <c r="R394" s="53"/>
    </row>
    <row r="395" spans="1:18">
      <c r="A395" s="53"/>
      <c r="B395" s="3"/>
      <c r="C395" s="9"/>
      <c r="D395" s="3"/>
      <c r="E395" s="3"/>
      <c r="F395" s="3"/>
      <c r="G395" s="53"/>
      <c r="H395" s="53"/>
      <c r="I395" s="53"/>
      <c r="J395" s="54"/>
      <c r="K395" s="53"/>
      <c r="L395" s="53"/>
      <c r="M395" s="53"/>
      <c r="N395" s="53"/>
      <c r="O395" s="53"/>
      <c r="P395" s="54"/>
      <c r="Q395" s="53"/>
      <c r="R395" s="53"/>
    </row>
    <row r="396" spans="1:18">
      <c r="A396" s="53"/>
      <c r="B396" s="3"/>
      <c r="C396" s="9"/>
      <c r="D396" s="3"/>
      <c r="E396" s="3"/>
      <c r="F396" s="3"/>
      <c r="G396" s="53"/>
      <c r="H396" s="53"/>
      <c r="I396" s="53"/>
      <c r="J396" s="54"/>
      <c r="K396" s="53"/>
      <c r="L396" s="53"/>
      <c r="M396" s="53"/>
      <c r="N396" s="53"/>
      <c r="O396" s="53"/>
      <c r="P396" s="54"/>
      <c r="Q396" s="53"/>
      <c r="R396" s="53"/>
    </row>
    <row r="397" spans="1:18">
      <c r="A397" s="53"/>
      <c r="B397" s="3"/>
      <c r="C397" s="9"/>
      <c r="D397" s="3"/>
      <c r="E397" s="3"/>
      <c r="F397" s="3"/>
      <c r="G397" s="53"/>
      <c r="H397" s="53"/>
      <c r="I397" s="53"/>
      <c r="J397" s="54"/>
      <c r="K397" s="53"/>
      <c r="L397" s="53"/>
      <c r="M397" s="53"/>
      <c r="N397" s="53"/>
      <c r="O397" s="53"/>
      <c r="P397" s="54"/>
      <c r="Q397" s="53"/>
      <c r="R397" s="53"/>
    </row>
    <row r="398" spans="1:18">
      <c r="A398" s="53"/>
      <c r="B398" s="3"/>
      <c r="C398" s="9"/>
      <c r="D398" s="3"/>
      <c r="E398" s="3"/>
      <c r="F398" s="3"/>
      <c r="G398" s="53"/>
      <c r="H398" s="53"/>
      <c r="I398" s="53"/>
      <c r="J398" s="54"/>
      <c r="K398" s="53"/>
      <c r="L398" s="53"/>
      <c r="M398" s="53"/>
      <c r="N398" s="53"/>
      <c r="O398" s="53"/>
      <c r="P398" s="54"/>
      <c r="Q398" s="53"/>
      <c r="R398" s="53"/>
    </row>
    <row r="399" spans="1:18">
      <c r="A399" s="53"/>
      <c r="B399" s="3"/>
      <c r="C399" s="9"/>
      <c r="D399" s="3"/>
      <c r="E399" s="3"/>
      <c r="F399" s="3"/>
      <c r="G399" s="53"/>
      <c r="H399" s="53"/>
      <c r="I399" s="53"/>
      <c r="J399" s="54"/>
      <c r="K399" s="53"/>
      <c r="L399" s="53"/>
      <c r="M399" s="53"/>
      <c r="N399" s="53"/>
      <c r="O399" s="53"/>
      <c r="P399" s="54"/>
      <c r="Q399" s="53"/>
      <c r="R399" s="53"/>
    </row>
    <row r="400" spans="1:18">
      <c r="A400" s="53"/>
      <c r="B400" s="3"/>
      <c r="C400" s="9"/>
      <c r="D400" s="3"/>
      <c r="E400" s="3"/>
      <c r="F400" s="3"/>
      <c r="G400" s="53"/>
      <c r="H400" s="53"/>
      <c r="I400" s="53"/>
      <c r="J400" s="54"/>
      <c r="K400" s="53"/>
      <c r="L400" s="53"/>
      <c r="M400" s="53"/>
      <c r="N400" s="53"/>
      <c r="O400" s="53"/>
      <c r="P400" s="54"/>
      <c r="Q400" s="53"/>
      <c r="R400" s="53"/>
    </row>
    <row r="401" spans="1:18">
      <c r="A401" s="53"/>
      <c r="B401" s="3"/>
      <c r="C401" s="9"/>
      <c r="D401" s="3"/>
      <c r="E401" s="3"/>
      <c r="F401" s="3"/>
      <c r="G401" s="53"/>
      <c r="H401" s="53"/>
      <c r="I401" s="53"/>
      <c r="J401" s="54"/>
      <c r="K401" s="53"/>
      <c r="L401" s="53"/>
      <c r="M401" s="53"/>
      <c r="N401" s="53"/>
      <c r="O401" s="53"/>
      <c r="P401" s="54"/>
      <c r="Q401" s="53"/>
      <c r="R401" s="53"/>
    </row>
    <row r="402" spans="1:18">
      <c r="A402" s="53"/>
      <c r="B402" s="3"/>
      <c r="C402" s="9"/>
      <c r="D402" s="3"/>
      <c r="E402" s="3"/>
      <c r="F402" s="3"/>
      <c r="G402" s="53"/>
      <c r="H402" s="53"/>
      <c r="I402" s="53"/>
      <c r="J402" s="54"/>
      <c r="K402" s="53"/>
      <c r="L402" s="53"/>
      <c r="M402" s="53"/>
      <c r="N402" s="53"/>
      <c r="O402" s="53"/>
      <c r="P402" s="54"/>
      <c r="Q402" s="53"/>
      <c r="R402" s="53"/>
    </row>
    <row r="403" spans="1:18">
      <c r="A403" s="53"/>
      <c r="B403" s="3"/>
      <c r="C403" s="9"/>
      <c r="D403" s="3"/>
      <c r="E403" s="3"/>
      <c r="F403" s="3"/>
      <c r="G403" s="53"/>
      <c r="H403" s="53"/>
      <c r="I403" s="53"/>
      <c r="J403" s="54"/>
      <c r="K403" s="53"/>
      <c r="L403" s="53"/>
      <c r="M403" s="53"/>
      <c r="N403" s="53"/>
      <c r="O403" s="53"/>
      <c r="P403" s="54"/>
      <c r="Q403" s="53"/>
      <c r="R403" s="53"/>
    </row>
    <row r="404" spans="1:18">
      <c r="A404" s="53"/>
      <c r="B404" s="3"/>
      <c r="C404" s="9"/>
      <c r="D404" s="3"/>
      <c r="E404" s="3"/>
      <c r="F404" s="3"/>
      <c r="G404" s="53"/>
      <c r="H404" s="53"/>
      <c r="I404" s="53"/>
      <c r="J404" s="54"/>
      <c r="K404" s="53"/>
      <c r="L404" s="53"/>
      <c r="M404" s="53"/>
      <c r="N404" s="53"/>
      <c r="O404" s="53"/>
      <c r="P404" s="54"/>
      <c r="Q404" s="53"/>
      <c r="R404" s="53"/>
    </row>
    <row r="405" spans="1:18">
      <c r="A405" s="53"/>
      <c r="B405" s="3"/>
      <c r="C405" s="9"/>
      <c r="D405" s="3"/>
      <c r="E405" s="3"/>
      <c r="F405" s="3"/>
      <c r="G405" s="53"/>
      <c r="H405" s="53"/>
      <c r="I405" s="53"/>
      <c r="J405" s="54"/>
      <c r="K405" s="53"/>
      <c r="L405" s="53"/>
      <c r="M405" s="53"/>
      <c r="N405" s="53"/>
      <c r="O405" s="53"/>
      <c r="P405" s="54"/>
      <c r="Q405" s="53"/>
      <c r="R405" s="53"/>
    </row>
    <row r="406" spans="1:18">
      <c r="A406" s="53"/>
      <c r="B406" s="3"/>
      <c r="C406" s="9"/>
      <c r="D406" s="3"/>
      <c r="E406" s="3"/>
      <c r="F406" s="3"/>
      <c r="G406" s="53"/>
      <c r="H406" s="53"/>
      <c r="I406" s="53"/>
      <c r="J406" s="54"/>
      <c r="K406" s="53"/>
      <c r="L406" s="53"/>
      <c r="M406" s="53"/>
      <c r="N406" s="53"/>
      <c r="O406" s="53"/>
      <c r="P406" s="54"/>
      <c r="Q406" s="53"/>
      <c r="R406" s="53"/>
    </row>
    <row r="407" spans="1:18">
      <c r="A407" s="53"/>
      <c r="B407" s="3"/>
      <c r="C407" s="9"/>
      <c r="D407" s="3"/>
      <c r="E407" s="3"/>
      <c r="F407" s="3"/>
      <c r="G407" s="53"/>
      <c r="H407" s="53"/>
      <c r="I407" s="53"/>
      <c r="J407" s="54"/>
      <c r="K407" s="53"/>
      <c r="L407" s="53"/>
      <c r="M407" s="53"/>
      <c r="N407" s="53"/>
      <c r="O407" s="53"/>
      <c r="P407" s="54"/>
      <c r="Q407" s="53"/>
      <c r="R407" s="53"/>
    </row>
    <row r="408" spans="1:18">
      <c r="A408" s="53"/>
      <c r="B408" s="3"/>
      <c r="C408" s="9"/>
      <c r="D408" s="3"/>
      <c r="E408" s="3"/>
      <c r="F408" s="3"/>
      <c r="G408" s="53"/>
      <c r="H408" s="53"/>
      <c r="I408" s="53"/>
      <c r="J408" s="54"/>
      <c r="K408" s="53"/>
      <c r="L408" s="53"/>
      <c r="M408" s="53"/>
      <c r="N408" s="53"/>
      <c r="O408" s="53"/>
      <c r="P408" s="54"/>
      <c r="Q408" s="53"/>
      <c r="R408" s="53"/>
    </row>
    <row r="409" spans="1:18">
      <c r="A409" s="53"/>
      <c r="B409" s="3"/>
      <c r="C409" s="9"/>
      <c r="D409" s="3"/>
      <c r="E409" s="3"/>
      <c r="F409" s="3"/>
      <c r="G409" s="53"/>
      <c r="H409" s="53"/>
      <c r="I409" s="53"/>
      <c r="J409" s="54"/>
      <c r="K409" s="53"/>
      <c r="L409" s="53"/>
      <c r="M409" s="53"/>
      <c r="N409" s="53"/>
      <c r="O409" s="53"/>
      <c r="P409" s="54"/>
      <c r="Q409" s="53"/>
      <c r="R409" s="53"/>
    </row>
    <row r="410" spans="1:18">
      <c r="A410" s="53"/>
      <c r="B410" s="3"/>
      <c r="C410" s="9"/>
      <c r="D410" s="3"/>
      <c r="E410" s="3"/>
      <c r="F410" s="3"/>
      <c r="G410" s="53"/>
      <c r="H410" s="53"/>
      <c r="I410" s="53"/>
      <c r="J410" s="54"/>
      <c r="K410" s="53"/>
      <c r="L410" s="53"/>
      <c r="M410" s="53"/>
      <c r="N410" s="53"/>
      <c r="O410" s="53"/>
      <c r="P410" s="54"/>
      <c r="Q410" s="53"/>
      <c r="R410" s="53"/>
    </row>
    <row r="411" spans="1:18">
      <c r="A411" s="53"/>
      <c r="B411" s="3"/>
      <c r="C411" s="9"/>
      <c r="D411" s="3"/>
      <c r="E411" s="3"/>
      <c r="F411" s="3"/>
      <c r="G411" s="53"/>
      <c r="H411" s="53"/>
      <c r="I411" s="53"/>
      <c r="J411" s="54"/>
      <c r="K411" s="53"/>
      <c r="L411" s="53"/>
      <c r="M411" s="53"/>
      <c r="N411" s="53"/>
      <c r="O411" s="53"/>
      <c r="P411" s="54"/>
      <c r="Q411" s="53"/>
      <c r="R411" s="53"/>
    </row>
    <row r="412" spans="1:18">
      <c r="A412" s="53"/>
      <c r="B412" s="3"/>
      <c r="C412" s="9"/>
      <c r="D412" s="3"/>
      <c r="E412" s="3"/>
      <c r="F412" s="3"/>
      <c r="G412" s="53"/>
      <c r="H412" s="53"/>
      <c r="I412" s="53"/>
      <c r="J412" s="54"/>
      <c r="K412" s="53"/>
      <c r="L412" s="53"/>
      <c r="M412" s="53"/>
      <c r="N412" s="53"/>
      <c r="O412" s="53"/>
      <c r="P412" s="54"/>
      <c r="Q412" s="53"/>
      <c r="R412" s="53"/>
    </row>
    <row r="413" spans="1:18">
      <c r="A413" s="53"/>
      <c r="B413" s="3"/>
      <c r="C413" s="9"/>
      <c r="D413" s="3"/>
      <c r="E413" s="3"/>
      <c r="F413" s="3"/>
      <c r="G413" s="53"/>
      <c r="H413" s="53"/>
      <c r="I413" s="53"/>
      <c r="J413" s="54"/>
      <c r="K413" s="53"/>
      <c r="L413" s="53"/>
      <c r="M413" s="53"/>
      <c r="N413" s="53"/>
      <c r="O413" s="53"/>
      <c r="P413" s="54"/>
      <c r="Q413" s="53"/>
      <c r="R413" s="53"/>
    </row>
    <row r="414" spans="1:18">
      <c r="A414" s="53"/>
      <c r="B414" s="3"/>
      <c r="C414" s="9"/>
      <c r="D414" s="3"/>
      <c r="E414" s="3"/>
      <c r="F414" s="3"/>
      <c r="G414" s="53"/>
      <c r="H414" s="53"/>
      <c r="I414" s="53"/>
      <c r="J414" s="54"/>
      <c r="K414" s="53"/>
      <c r="L414" s="53"/>
      <c r="M414" s="53"/>
      <c r="N414" s="53"/>
      <c r="O414" s="53"/>
      <c r="P414" s="54"/>
      <c r="Q414" s="53"/>
      <c r="R414" s="53"/>
    </row>
    <row r="415" spans="1:18">
      <c r="A415" s="53"/>
      <c r="B415" s="3"/>
      <c r="C415" s="9"/>
      <c r="D415" s="3"/>
      <c r="E415" s="3"/>
      <c r="F415" s="3"/>
      <c r="G415" s="53"/>
      <c r="H415" s="53"/>
      <c r="I415" s="53"/>
      <c r="J415" s="54"/>
      <c r="K415" s="53"/>
      <c r="L415" s="53"/>
      <c r="M415" s="53"/>
      <c r="N415" s="53"/>
      <c r="O415" s="53"/>
      <c r="P415" s="54"/>
      <c r="Q415" s="53"/>
      <c r="R415" s="53"/>
    </row>
    <row r="416" spans="1:18">
      <c r="A416" s="53"/>
      <c r="B416" s="3"/>
      <c r="C416" s="9"/>
      <c r="D416" s="3"/>
      <c r="E416" s="3"/>
      <c r="F416" s="3"/>
      <c r="G416" s="53"/>
      <c r="H416" s="53"/>
      <c r="I416" s="53"/>
      <c r="J416" s="54"/>
      <c r="K416" s="53"/>
      <c r="L416" s="53"/>
      <c r="M416" s="53"/>
      <c r="N416" s="53"/>
      <c r="O416" s="53"/>
      <c r="P416" s="54"/>
      <c r="Q416" s="53"/>
      <c r="R416" s="53"/>
    </row>
    <row r="417" spans="1:18">
      <c r="A417" s="53"/>
      <c r="B417" s="3"/>
      <c r="C417" s="9"/>
      <c r="D417" s="3"/>
      <c r="E417" s="3"/>
      <c r="F417" s="3"/>
      <c r="G417" s="53"/>
      <c r="H417" s="53"/>
      <c r="I417" s="53"/>
      <c r="J417" s="54"/>
      <c r="K417" s="53"/>
      <c r="L417" s="53"/>
      <c r="M417" s="53"/>
      <c r="N417" s="53"/>
      <c r="O417" s="53"/>
      <c r="P417" s="54"/>
      <c r="Q417" s="53"/>
      <c r="R417" s="53"/>
    </row>
    <row r="418" spans="1:18">
      <c r="A418" s="53"/>
      <c r="B418" s="3"/>
      <c r="C418" s="9"/>
      <c r="D418" s="3"/>
      <c r="E418" s="3"/>
      <c r="F418" s="3"/>
      <c r="G418" s="53"/>
      <c r="H418" s="53"/>
      <c r="I418" s="53"/>
      <c r="J418" s="54"/>
      <c r="K418" s="53"/>
      <c r="L418" s="53"/>
      <c r="M418" s="53"/>
      <c r="N418" s="53"/>
      <c r="O418" s="53"/>
      <c r="P418" s="54"/>
      <c r="Q418" s="53"/>
      <c r="R418" s="53"/>
    </row>
    <row r="419" spans="1:18">
      <c r="A419" s="53"/>
      <c r="B419" s="3"/>
      <c r="C419" s="9"/>
      <c r="D419" s="3"/>
      <c r="E419" s="3"/>
      <c r="F419" s="3"/>
      <c r="G419" s="53"/>
      <c r="H419" s="53"/>
      <c r="I419" s="53"/>
      <c r="J419" s="54"/>
      <c r="K419" s="53"/>
      <c r="L419" s="53"/>
      <c r="M419" s="53"/>
      <c r="N419" s="53"/>
      <c r="O419" s="53"/>
      <c r="P419" s="54"/>
      <c r="Q419" s="53"/>
      <c r="R419" s="53"/>
    </row>
    <row r="420" spans="1:18">
      <c r="A420" s="53"/>
      <c r="B420" s="3"/>
      <c r="C420" s="9"/>
      <c r="D420" s="3"/>
      <c r="E420" s="3"/>
      <c r="F420" s="3"/>
      <c r="G420" s="53"/>
      <c r="H420" s="53"/>
      <c r="I420" s="53"/>
      <c r="J420" s="54"/>
      <c r="K420" s="53"/>
      <c r="L420" s="53"/>
      <c r="M420" s="53"/>
      <c r="N420" s="53"/>
      <c r="O420" s="53"/>
      <c r="P420" s="54"/>
      <c r="Q420" s="53"/>
      <c r="R420" s="53"/>
    </row>
    <row r="421" spans="1:18">
      <c r="A421" s="53"/>
      <c r="B421" s="3"/>
      <c r="C421" s="9"/>
      <c r="D421" s="3"/>
      <c r="E421" s="3"/>
      <c r="F421" s="3"/>
      <c r="G421" s="53"/>
      <c r="H421" s="53"/>
      <c r="I421" s="53"/>
      <c r="J421" s="54"/>
      <c r="K421" s="53"/>
      <c r="L421" s="53"/>
      <c r="M421" s="53"/>
      <c r="N421" s="53"/>
      <c r="O421" s="53"/>
      <c r="P421" s="54"/>
      <c r="Q421" s="53"/>
      <c r="R421" s="53"/>
    </row>
    <row r="422" spans="1:18">
      <c r="A422" s="53"/>
      <c r="B422" s="3"/>
      <c r="C422" s="9"/>
      <c r="D422" s="3"/>
      <c r="E422" s="3"/>
      <c r="F422" s="3"/>
      <c r="G422" s="53"/>
      <c r="H422" s="53"/>
      <c r="I422" s="53"/>
      <c r="J422" s="54"/>
      <c r="K422" s="53"/>
      <c r="L422" s="53"/>
      <c r="M422" s="53"/>
      <c r="N422" s="53"/>
      <c r="O422" s="53"/>
      <c r="P422" s="54"/>
      <c r="Q422" s="53"/>
      <c r="R422" s="53"/>
    </row>
    <row r="423" spans="1:18">
      <c r="A423" s="53"/>
      <c r="B423" s="3"/>
      <c r="C423" s="9"/>
      <c r="D423" s="3"/>
      <c r="E423" s="3"/>
      <c r="F423" s="3"/>
      <c r="G423" s="53"/>
      <c r="H423" s="53"/>
      <c r="I423" s="53"/>
      <c r="J423" s="54"/>
      <c r="K423" s="53"/>
      <c r="L423" s="53"/>
      <c r="M423" s="53"/>
      <c r="N423" s="53"/>
      <c r="O423" s="53"/>
      <c r="P423" s="54"/>
      <c r="Q423" s="53"/>
      <c r="R423" s="53"/>
    </row>
    <row r="424" spans="1:18">
      <c r="A424" s="53"/>
      <c r="B424" s="3"/>
      <c r="C424" s="9"/>
      <c r="D424" s="3"/>
      <c r="E424" s="3"/>
      <c r="F424" s="3"/>
      <c r="G424" s="53"/>
      <c r="H424" s="53"/>
      <c r="I424" s="53"/>
      <c r="J424" s="54"/>
      <c r="K424" s="53"/>
      <c r="L424" s="53"/>
      <c r="M424" s="53"/>
      <c r="N424" s="53"/>
      <c r="O424" s="53"/>
      <c r="P424" s="54"/>
      <c r="Q424" s="53"/>
      <c r="R424" s="53"/>
    </row>
    <row r="425" spans="1:18">
      <c r="A425" s="53"/>
      <c r="B425" s="3"/>
      <c r="C425" s="9"/>
      <c r="D425" s="3"/>
      <c r="E425" s="3"/>
      <c r="F425" s="3"/>
      <c r="G425" s="53"/>
      <c r="H425" s="53"/>
      <c r="I425" s="53"/>
      <c r="J425" s="54"/>
      <c r="K425" s="53"/>
      <c r="L425" s="53"/>
      <c r="M425" s="53"/>
      <c r="N425" s="53"/>
      <c r="O425" s="53"/>
      <c r="P425" s="54"/>
      <c r="Q425" s="53"/>
      <c r="R425" s="53"/>
    </row>
    <row r="426" spans="1:18">
      <c r="A426" s="53"/>
      <c r="B426" s="3"/>
      <c r="C426" s="9"/>
      <c r="D426" s="3"/>
      <c r="E426" s="3"/>
      <c r="F426" s="3"/>
      <c r="G426" s="53"/>
      <c r="H426" s="53"/>
      <c r="I426" s="53"/>
      <c r="J426" s="54"/>
      <c r="K426" s="53"/>
      <c r="L426" s="53"/>
      <c r="M426" s="53"/>
      <c r="N426" s="53"/>
      <c r="O426" s="53"/>
      <c r="P426" s="54"/>
      <c r="Q426" s="53"/>
      <c r="R426" s="53"/>
    </row>
    <row r="427" spans="1:18">
      <c r="A427" s="53"/>
      <c r="B427" s="3"/>
      <c r="C427" s="9"/>
      <c r="D427" s="3"/>
      <c r="E427" s="3"/>
      <c r="F427" s="3"/>
      <c r="G427" s="53"/>
      <c r="H427" s="53"/>
      <c r="I427" s="53"/>
      <c r="J427" s="54"/>
      <c r="K427" s="53"/>
      <c r="L427" s="53"/>
      <c r="M427" s="53"/>
      <c r="N427" s="53"/>
      <c r="O427" s="53"/>
      <c r="P427" s="54"/>
      <c r="Q427" s="53"/>
      <c r="R427" s="53"/>
    </row>
    <row r="428" spans="1:18">
      <c r="A428" s="53"/>
      <c r="B428" s="3"/>
      <c r="C428" s="9"/>
      <c r="D428" s="3"/>
      <c r="E428" s="3"/>
      <c r="F428" s="3"/>
      <c r="G428" s="53"/>
      <c r="H428" s="53"/>
      <c r="I428" s="53"/>
      <c r="J428" s="54"/>
      <c r="K428" s="53"/>
      <c r="L428" s="53"/>
      <c r="M428" s="53"/>
      <c r="N428" s="53"/>
      <c r="O428" s="53"/>
      <c r="P428" s="54"/>
      <c r="Q428" s="53"/>
      <c r="R428" s="53"/>
    </row>
    <row r="429" spans="1:18">
      <c r="A429" s="53"/>
      <c r="B429" s="3"/>
      <c r="C429" s="9"/>
      <c r="D429" s="3"/>
      <c r="E429" s="3"/>
      <c r="F429" s="3"/>
      <c r="G429" s="53"/>
      <c r="H429" s="53"/>
      <c r="I429" s="53"/>
      <c r="J429" s="54"/>
      <c r="K429" s="53"/>
      <c r="L429" s="53"/>
      <c r="M429" s="53"/>
      <c r="N429" s="53"/>
      <c r="O429" s="53"/>
      <c r="P429" s="54"/>
      <c r="Q429" s="53"/>
      <c r="R429" s="53"/>
    </row>
    <row r="430" spans="1:18">
      <c r="A430" s="53"/>
      <c r="B430" s="3"/>
      <c r="C430" s="9"/>
      <c r="D430" s="3"/>
      <c r="E430" s="3"/>
      <c r="F430" s="3"/>
      <c r="G430" s="53"/>
      <c r="H430" s="53"/>
      <c r="I430" s="53"/>
      <c r="J430" s="54"/>
      <c r="K430" s="53"/>
      <c r="L430" s="53"/>
      <c r="M430" s="53"/>
      <c r="N430" s="53"/>
      <c r="O430" s="53"/>
      <c r="P430" s="54"/>
      <c r="Q430" s="53"/>
      <c r="R430" s="53"/>
    </row>
    <row r="431" spans="1:18">
      <c r="A431" s="53"/>
      <c r="B431" s="3"/>
      <c r="C431" s="9"/>
      <c r="D431" s="3"/>
      <c r="E431" s="3"/>
      <c r="F431" s="3"/>
      <c r="G431" s="53"/>
      <c r="H431" s="53"/>
      <c r="I431" s="53"/>
      <c r="J431" s="54"/>
      <c r="K431" s="53"/>
      <c r="L431" s="53"/>
      <c r="M431" s="53"/>
      <c r="N431" s="53"/>
      <c r="O431" s="53"/>
      <c r="P431" s="54"/>
      <c r="Q431" s="53"/>
      <c r="R431" s="53"/>
    </row>
    <row r="432" spans="1:18">
      <c r="A432" s="53"/>
      <c r="B432" s="3"/>
      <c r="C432" s="9"/>
      <c r="D432" s="3"/>
      <c r="E432" s="3"/>
      <c r="F432" s="3"/>
      <c r="G432" s="53"/>
      <c r="H432" s="53"/>
      <c r="I432" s="53"/>
      <c r="J432" s="54"/>
      <c r="K432" s="53"/>
      <c r="L432" s="53"/>
      <c r="M432" s="53"/>
      <c r="N432" s="53"/>
      <c r="O432" s="53"/>
      <c r="P432" s="54"/>
      <c r="Q432" s="53"/>
      <c r="R432" s="53"/>
    </row>
    <row r="433" spans="1:18">
      <c r="A433" s="53"/>
      <c r="B433" s="3"/>
      <c r="C433" s="9"/>
      <c r="D433" s="3"/>
      <c r="E433" s="3"/>
      <c r="F433" s="3"/>
      <c r="G433" s="53"/>
      <c r="H433" s="53"/>
      <c r="I433" s="53"/>
      <c r="J433" s="54"/>
      <c r="K433" s="53"/>
      <c r="L433" s="53"/>
      <c r="M433" s="53"/>
      <c r="N433" s="53"/>
      <c r="O433" s="53"/>
      <c r="P433" s="54"/>
      <c r="Q433" s="53"/>
      <c r="R433" s="53"/>
    </row>
    <row r="434" spans="1:18">
      <c r="A434" s="53"/>
      <c r="B434" s="3"/>
      <c r="C434" s="9"/>
      <c r="D434" s="3"/>
      <c r="E434" s="3"/>
      <c r="F434" s="3"/>
      <c r="G434" s="53"/>
      <c r="H434" s="53"/>
      <c r="I434" s="53"/>
      <c r="J434" s="54"/>
      <c r="K434" s="53"/>
      <c r="L434" s="53"/>
      <c r="M434" s="53"/>
      <c r="N434" s="53"/>
      <c r="O434" s="53"/>
      <c r="P434" s="54"/>
      <c r="Q434" s="53"/>
      <c r="R434" s="53"/>
    </row>
    <row r="435" spans="1:18">
      <c r="A435" s="53"/>
      <c r="B435" s="3"/>
      <c r="C435" s="9"/>
      <c r="D435" s="3"/>
      <c r="E435" s="3"/>
      <c r="F435" s="3"/>
      <c r="G435" s="53"/>
      <c r="H435" s="53"/>
      <c r="I435" s="53"/>
      <c r="J435" s="54"/>
      <c r="K435" s="53"/>
      <c r="L435" s="53"/>
      <c r="M435" s="53"/>
      <c r="N435" s="53"/>
      <c r="O435" s="53"/>
      <c r="P435" s="54"/>
      <c r="Q435" s="53"/>
      <c r="R435" s="53"/>
    </row>
    <row r="436" spans="1:18">
      <c r="A436" s="53"/>
      <c r="B436" s="3"/>
      <c r="C436" s="9"/>
      <c r="D436" s="3"/>
      <c r="E436" s="3"/>
      <c r="F436" s="3"/>
      <c r="G436" s="53"/>
      <c r="H436" s="53"/>
      <c r="I436" s="53"/>
      <c r="J436" s="54"/>
      <c r="K436" s="53"/>
      <c r="L436" s="53"/>
      <c r="M436" s="53"/>
      <c r="N436" s="53"/>
      <c r="O436" s="53"/>
      <c r="P436" s="54"/>
      <c r="Q436" s="53"/>
      <c r="R436" s="53"/>
    </row>
    <row r="437" spans="1:18">
      <c r="A437" s="53"/>
      <c r="B437" s="3"/>
      <c r="C437" s="9"/>
      <c r="D437" s="3"/>
      <c r="E437" s="3"/>
      <c r="F437" s="3"/>
      <c r="G437" s="53"/>
      <c r="H437" s="53"/>
      <c r="I437" s="53"/>
      <c r="J437" s="54"/>
      <c r="K437" s="53"/>
      <c r="L437" s="53"/>
      <c r="M437" s="53"/>
      <c r="N437" s="53"/>
      <c r="O437" s="53"/>
      <c r="P437" s="54"/>
      <c r="Q437" s="53"/>
      <c r="R437" s="53"/>
    </row>
    <row r="438" spans="1:18">
      <c r="A438" s="53"/>
      <c r="B438" s="3"/>
      <c r="C438" s="9"/>
      <c r="D438" s="3"/>
      <c r="E438" s="3"/>
      <c r="F438" s="3"/>
      <c r="G438" s="53"/>
      <c r="H438" s="53"/>
      <c r="I438" s="53"/>
      <c r="J438" s="54"/>
      <c r="K438" s="53"/>
      <c r="L438" s="53"/>
      <c r="M438" s="53"/>
      <c r="N438" s="53"/>
      <c r="O438" s="53"/>
      <c r="P438" s="54"/>
      <c r="Q438" s="53"/>
      <c r="R438" s="53"/>
    </row>
    <row r="439" spans="1:18">
      <c r="A439" s="53"/>
      <c r="B439" s="3"/>
      <c r="C439" s="9"/>
      <c r="D439" s="3"/>
      <c r="E439" s="3"/>
      <c r="F439" s="3"/>
      <c r="G439" s="53"/>
      <c r="H439" s="53"/>
      <c r="I439" s="53"/>
      <c r="J439" s="54"/>
      <c r="K439" s="53"/>
      <c r="L439" s="53"/>
      <c r="M439" s="53"/>
      <c r="N439" s="53"/>
      <c r="O439" s="53"/>
      <c r="P439" s="54"/>
      <c r="Q439" s="53"/>
      <c r="R439" s="53"/>
    </row>
    <row r="440" spans="1:18">
      <c r="A440" s="53"/>
      <c r="B440" s="3"/>
      <c r="C440" s="9"/>
      <c r="D440" s="3"/>
      <c r="E440" s="3"/>
      <c r="F440" s="3"/>
      <c r="G440" s="53"/>
      <c r="H440" s="53"/>
      <c r="I440" s="53"/>
      <c r="J440" s="54"/>
      <c r="K440" s="53"/>
      <c r="L440" s="53"/>
      <c r="M440" s="53"/>
      <c r="N440" s="53"/>
      <c r="O440" s="53"/>
      <c r="P440" s="54"/>
      <c r="Q440" s="53"/>
      <c r="R440" s="53"/>
    </row>
    <row r="441" spans="1:18">
      <c r="A441" s="53"/>
      <c r="B441" s="3"/>
      <c r="C441" s="9"/>
      <c r="D441" s="3"/>
      <c r="E441" s="3"/>
      <c r="F441" s="3"/>
      <c r="G441" s="53"/>
      <c r="H441" s="53"/>
      <c r="I441" s="53"/>
      <c r="J441" s="54"/>
      <c r="K441" s="53"/>
      <c r="L441" s="53"/>
      <c r="M441" s="53"/>
      <c r="N441" s="53"/>
      <c r="O441" s="53"/>
      <c r="P441" s="54"/>
      <c r="Q441" s="53"/>
      <c r="R441" s="53"/>
    </row>
    <row r="442" spans="1:18">
      <c r="A442" s="53"/>
      <c r="B442" s="3"/>
      <c r="C442" s="9"/>
      <c r="D442" s="3"/>
      <c r="E442" s="3"/>
      <c r="F442" s="3"/>
      <c r="G442" s="53"/>
      <c r="H442" s="53"/>
      <c r="I442" s="53"/>
      <c r="J442" s="54"/>
      <c r="K442" s="53"/>
      <c r="L442" s="53"/>
      <c r="M442" s="53"/>
      <c r="N442" s="53"/>
      <c r="O442" s="53"/>
      <c r="P442" s="54"/>
      <c r="Q442" s="53"/>
      <c r="R442" s="53"/>
    </row>
    <row r="443" spans="1:18">
      <c r="A443" s="53"/>
      <c r="B443" s="3"/>
      <c r="C443" s="9"/>
      <c r="D443" s="3"/>
      <c r="E443" s="3"/>
      <c r="F443" s="3"/>
      <c r="G443" s="53"/>
      <c r="H443" s="53"/>
      <c r="I443" s="53"/>
      <c r="J443" s="54"/>
      <c r="K443" s="53"/>
      <c r="L443" s="53"/>
      <c r="M443" s="53"/>
      <c r="N443" s="53"/>
      <c r="O443" s="53"/>
      <c r="P443" s="54"/>
      <c r="Q443" s="53"/>
      <c r="R443" s="53"/>
    </row>
    <row r="444" spans="1:18">
      <c r="A444" s="53"/>
      <c r="B444" s="3"/>
      <c r="C444" s="9"/>
      <c r="D444" s="3"/>
      <c r="E444" s="3"/>
      <c r="F444" s="3"/>
      <c r="G444" s="53"/>
      <c r="H444" s="53"/>
      <c r="I444" s="53"/>
      <c r="J444" s="54"/>
      <c r="K444" s="53"/>
      <c r="L444" s="53"/>
      <c r="M444" s="53"/>
      <c r="N444" s="53"/>
      <c r="O444" s="53"/>
      <c r="P444" s="54"/>
      <c r="Q444" s="53"/>
      <c r="R444" s="53"/>
    </row>
    <row r="445" spans="1:18">
      <c r="A445" s="53"/>
      <c r="B445" s="3"/>
      <c r="C445" s="9"/>
      <c r="D445" s="3"/>
      <c r="E445" s="3"/>
      <c r="F445" s="3"/>
      <c r="G445" s="53"/>
      <c r="H445" s="53"/>
      <c r="I445" s="53"/>
      <c r="J445" s="54"/>
      <c r="K445" s="53"/>
      <c r="L445" s="53"/>
      <c r="M445" s="53"/>
      <c r="N445" s="53"/>
      <c r="O445" s="53"/>
      <c r="P445" s="54"/>
      <c r="Q445" s="53"/>
      <c r="R445" s="53"/>
    </row>
    <row r="446" spans="1:18">
      <c r="A446" s="53"/>
      <c r="B446" s="3"/>
      <c r="C446" s="9"/>
      <c r="D446" s="3"/>
      <c r="E446" s="3"/>
      <c r="F446" s="3"/>
      <c r="G446" s="53"/>
      <c r="H446" s="53"/>
      <c r="I446" s="53"/>
      <c r="J446" s="54"/>
      <c r="K446" s="53"/>
      <c r="L446" s="53"/>
      <c r="M446" s="53"/>
      <c r="N446" s="53"/>
      <c r="O446" s="53"/>
      <c r="P446" s="54"/>
      <c r="Q446" s="53"/>
      <c r="R446" s="53"/>
    </row>
    <row r="447" spans="1:18">
      <c r="A447" s="53"/>
      <c r="B447" s="3"/>
      <c r="C447" s="9"/>
      <c r="D447" s="3"/>
      <c r="E447" s="3"/>
      <c r="F447" s="3"/>
      <c r="G447" s="53"/>
      <c r="H447" s="53"/>
      <c r="I447" s="53"/>
      <c r="J447" s="54"/>
      <c r="K447" s="53"/>
      <c r="L447" s="53"/>
      <c r="M447" s="53"/>
      <c r="N447" s="53"/>
      <c r="O447" s="53"/>
      <c r="P447" s="54"/>
      <c r="Q447" s="53"/>
      <c r="R447" s="53"/>
    </row>
    <row r="448" spans="1:18">
      <c r="A448" s="53"/>
      <c r="B448" s="3"/>
      <c r="C448" s="9"/>
      <c r="D448" s="3"/>
      <c r="E448" s="3"/>
      <c r="F448" s="3"/>
      <c r="G448" s="53"/>
      <c r="H448" s="53"/>
      <c r="I448" s="53"/>
      <c r="J448" s="54"/>
      <c r="K448" s="53"/>
      <c r="L448" s="53"/>
      <c r="M448" s="53"/>
      <c r="N448" s="53"/>
      <c r="O448" s="53"/>
      <c r="P448" s="54"/>
      <c r="Q448" s="53"/>
      <c r="R448" s="53"/>
    </row>
    <row r="449" spans="1:18">
      <c r="A449" s="53"/>
      <c r="B449" s="3"/>
      <c r="C449" s="9"/>
      <c r="D449" s="3"/>
      <c r="E449" s="3"/>
      <c r="F449" s="3"/>
      <c r="G449" s="53"/>
      <c r="H449" s="53"/>
      <c r="I449" s="53"/>
      <c r="J449" s="54"/>
      <c r="K449" s="53"/>
      <c r="L449" s="53"/>
      <c r="M449" s="53"/>
      <c r="N449" s="53"/>
      <c r="O449" s="53"/>
      <c r="P449" s="54"/>
      <c r="Q449" s="53"/>
      <c r="R449" s="53"/>
    </row>
    <row r="450" spans="1:18">
      <c r="A450" s="53"/>
      <c r="B450" s="3"/>
      <c r="C450" s="9"/>
      <c r="D450" s="3"/>
      <c r="E450" s="3"/>
      <c r="F450" s="3"/>
      <c r="G450" s="53"/>
      <c r="H450" s="53"/>
      <c r="I450" s="53"/>
      <c r="J450" s="54"/>
      <c r="K450" s="53"/>
      <c r="L450" s="53"/>
      <c r="M450" s="53"/>
      <c r="N450" s="53"/>
      <c r="O450" s="53"/>
      <c r="P450" s="54"/>
      <c r="Q450" s="53"/>
      <c r="R450" s="53"/>
    </row>
    <row r="451" spans="1:18">
      <c r="A451" s="53"/>
      <c r="B451" s="3"/>
      <c r="C451" s="9"/>
      <c r="D451" s="3"/>
      <c r="E451" s="3"/>
      <c r="F451" s="3"/>
      <c r="G451" s="53"/>
      <c r="H451" s="53"/>
      <c r="I451" s="53"/>
      <c r="J451" s="54"/>
      <c r="K451" s="53"/>
      <c r="L451" s="53"/>
      <c r="M451" s="53"/>
      <c r="N451" s="53"/>
      <c r="O451" s="53"/>
      <c r="P451" s="54"/>
      <c r="Q451" s="53"/>
      <c r="R451" s="53"/>
    </row>
    <row r="452" spans="1:18">
      <c r="A452" s="53"/>
      <c r="B452" s="3"/>
      <c r="C452" s="9"/>
      <c r="D452" s="3"/>
      <c r="E452" s="3"/>
      <c r="F452" s="3"/>
      <c r="G452" s="53"/>
      <c r="H452" s="53"/>
      <c r="I452" s="53"/>
      <c r="J452" s="54"/>
      <c r="K452" s="53"/>
      <c r="L452" s="53"/>
      <c r="M452" s="53"/>
      <c r="N452" s="53"/>
      <c r="O452" s="53"/>
      <c r="P452" s="54"/>
      <c r="Q452" s="53"/>
      <c r="R452" s="53"/>
    </row>
    <row r="453" spans="1:18">
      <c r="A453" s="53"/>
      <c r="B453" s="3"/>
      <c r="C453" s="9"/>
      <c r="D453" s="3"/>
      <c r="E453" s="3"/>
      <c r="F453" s="3"/>
      <c r="G453" s="53"/>
      <c r="H453" s="53"/>
      <c r="I453" s="53"/>
      <c r="J453" s="54"/>
      <c r="K453" s="53"/>
      <c r="L453" s="53"/>
      <c r="M453" s="53"/>
      <c r="N453" s="53"/>
      <c r="O453" s="53"/>
      <c r="P453" s="54"/>
      <c r="Q453" s="53"/>
      <c r="R453" s="53"/>
    </row>
    <row r="454" spans="1:18">
      <c r="A454" s="53"/>
      <c r="B454" s="3"/>
      <c r="C454" s="9"/>
      <c r="D454" s="3"/>
      <c r="E454" s="3"/>
      <c r="F454" s="3"/>
      <c r="G454" s="53"/>
      <c r="H454" s="53"/>
      <c r="I454" s="53"/>
      <c r="J454" s="54"/>
      <c r="K454" s="53"/>
      <c r="L454" s="53"/>
      <c r="M454" s="53"/>
      <c r="N454" s="53"/>
      <c r="O454" s="53"/>
      <c r="P454" s="54"/>
      <c r="Q454" s="53"/>
      <c r="R454" s="53"/>
    </row>
    <row r="455" spans="1:18">
      <c r="A455" s="53"/>
      <c r="B455" s="3"/>
      <c r="C455" s="9"/>
      <c r="D455" s="3"/>
      <c r="E455" s="3"/>
      <c r="F455" s="3"/>
      <c r="G455" s="53"/>
      <c r="H455" s="53"/>
      <c r="I455" s="53"/>
      <c r="J455" s="54"/>
      <c r="K455" s="53"/>
      <c r="L455" s="53"/>
      <c r="M455" s="53"/>
      <c r="N455" s="53"/>
      <c r="O455" s="53"/>
      <c r="P455" s="54"/>
      <c r="Q455" s="53"/>
      <c r="R455" s="53"/>
    </row>
    <row r="456" spans="1:18">
      <c r="A456" s="53"/>
      <c r="B456" s="3"/>
      <c r="C456" s="9"/>
      <c r="D456" s="3"/>
      <c r="E456" s="3"/>
      <c r="F456" s="3"/>
      <c r="G456" s="53"/>
      <c r="H456" s="53"/>
      <c r="I456" s="53"/>
      <c r="J456" s="54"/>
      <c r="K456" s="53"/>
      <c r="L456" s="53"/>
      <c r="M456" s="53"/>
      <c r="N456" s="53"/>
      <c r="O456" s="53"/>
      <c r="P456" s="54"/>
      <c r="Q456" s="53"/>
      <c r="R456" s="53"/>
    </row>
    <row r="457" spans="1:18">
      <c r="A457" s="53"/>
      <c r="B457" s="3"/>
      <c r="C457" s="9"/>
      <c r="D457" s="3"/>
      <c r="E457" s="3"/>
      <c r="F457" s="3"/>
      <c r="G457" s="53"/>
      <c r="H457" s="53"/>
      <c r="I457" s="53"/>
      <c r="J457" s="54"/>
      <c r="K457" s="53"/>
      <c r="L457" s="53"/>
      <c r="M457" s="53"/>
      <c r="N457" s="53"/>
      <c r="O457" s="53"/>
      <c r="P457" s="54"/>
      <c r="Q457" s="53"/>
      <c r="R457" s="53"/>
    </row>
    <row r="458" spans="1:18">
      <c r="A458" s="53"/>
      <c r="B458" s="3"/>
      <c r="C458" s="9"/>
      <c r="D458" s="3"/>
      <c r="E458" s="3"/>
      <c r="F458" s="3"/>
      <c r="G458" s="53"/>
      <c r="H458" s="53"/>
      <c r="I458" s="53"/>
      <c r="J458" s="54"/>
      <c r="K458" s="53"/>
      <c r="L458" s="53"/>
      <c r="M458" s="53"/>
      <c r="N458" s="53"/>
      <c r="O458" s="53"/>
      <c r="P458" s="54"/>
      <c r="Q458" s="53"/>
      <c r="R458" s="53"/>
    </row>
    <row r="459" spans="1:18">
      <c r="A459" s="53"/>
      <c r="B459" s="3"/>
      <c r="C459" s="9"/>
      <c r="D459" s="3"/>
      <c r="E459" s="3"/>
      <c r="F459" s="3"/>
      <c r="G459" s="53"/>
      <c r="H459" s="53"/>
      <c r="I459" s="53"/>
      <c r="J459" s="54"/>
      <c r="K459" s="53"/>
      <c r="L459" s="53"/>
      <c r="M459" s="53"/>
      <c r="N459" s="53"/>
      <c r="O459" s="53"/>
      <c r="P459" s="54"/>
      <c r="Q459" s="53"/>
      <c r="R459" s="53"/>
    </row>
    <row r="460" spans="1:18">
      <c r="A460" s="53"/>
      <c r="B460" s="3"/>
      <c r="C460" s="9"/>
      <c r="D460" s="3"/>
      <c r="E460" s="3"/>
      <c r="F460" s="3"/>
      <c r="G460" s="53"/>
      <c r="H460" s="53"/>
      <c r="I460" s="53"/>
      <c r="J460" s="54"/>
      <c r="K460" s="53"/>
      <c r="L460" s="53"/>
      <c r="M460" s="53"/>
      <c r="N460" s="53"/>
      <c r="O460" s="53"/>
      <c r="P460" s="54"/>
      <c r="Q460" s="53"/>
      <c r="R460" s="53"/>
    </row>
    <row r="461" spans="1:18">
      <c r="A461" s="53"/>
      <c r="B461" s="3"/>
      <c r="C461" s="9"/>
      <c r="D461" s="3"/>
      <c r="E461" s="3"/>
      <c r="F461" s="3"/>
      <c r="G461" s="53"/>
      <c r="H461" s="53"/>
      <c r="I461" s="53"/>
      <c r="J461" s="54"/>
      <c r="K461" s="53"/>
      <c r="L461" s="53"/>
      <c r="M461" s="53"/>
      <c r="N461" s="53"/>
      <c r="O461" s="53"/>
      <c r="P461" s="54"/>
      <c r="Q461" s="53"/>
      <c r="R461" s="53"/>
    </row>
    <row r="462" spans="1:18">
      <c r="A462" s="53"/>
      <c r="B462" s="3"/>
      <c r="C462" s="9"/>
      <c r="D462" s="3"/>
      <c r="E462" s="3"/>
      <c r="F462" s="3"/>
      <c r="G462" s="53"/>
      <c r="H462" s="53"/>
      <c r="I462" s="53"/>
      <c r="J462" s="54"/>
      <c r="K462" s="53"/>
      <c r="L462" s="53"/>
      <c r="M462" s="53"/>
      <c r="N462" s="53"/>
      <c r="O462" s="53"/>
      <c r="P462" s="54"/>
      <c r="Q462" s="53"/>
      <c r="R462" s="53"/>
    </row>
    <row r="463" spans="1:18">
      <c r="A463" s="53"/>
      <c r="B463" s="3"/>
      <c r="C463" s="9"/>
      <c r="D463" s="3"/>
      <c r="E463" s="3"/>
      <c r="F463" s="3"/>
      <c r="G463" s="53"/>
      <c r="H463" s="53"/>
      <c r="I463" s="53"/>
      <c r="J463" s="54"/>
      <c r="K463" s="53"/>
      <c r="L463" s="53"/>
      <c r="M463" s="53"/>
      <c r="N463" s="53"/>
      <c r="O463" s="53"/>
      <c r="P463" s="54"/>
      <c r="Q463" s="53"/>
      <c r="R463" s="53"/>
    </row>
    <row r="464" spans="1:18">
      <c r="A464" s="53"/>
      <c r="B464" s="3"/>
      <c r="C464" s="9"/>
      <c r="D464" s="3"/>
      <c r="E464" s="3"/>
      <c r="F464" s="3"/>
      <c r="G464" s="53"/>
      <c r="H464" s="53"/>
      <c r="I464" s="53"/>
      <c r="J464" s="54"/>
      <c r="K464" s="53"/>
      <c r="L464" s="53"/>
      <c r="M464" s="53"/>
      <c r="N464" s="53"/>
      <c r="O464" s="53"/>
      <c r="P464" s="54"/>
      <c r="Q464" s="53"/>
      <c r="R464" s="53"/>
    </row>
    <row r="465" spans="1:18">
      <c r="A465" s="53"/>
      <c r="B465" s="3"/>
      <c r="C465" s="9"/>
      <c r="D465" s="3"/>
      <c r="E465" s="3"/>
      <c r="F465" s="3"/>
      <c r="G465" s="53"/>
      <c r="H465" s="53"/>
      <c r="I465" s="53"/>
      <c r="J465" s="54"/>
      <c r="K465" s="53"/>
      <c r="L465" s="53"/>
      <c r="M465" s="53"/>
      <c r="N465" s="53"/>
      <c r="O465" s="53"/>
      <c r="P465" s="54"/>
      <c r="Q465" s="53"/>
      <c r="R465" s="53"/>
    </row>
    <row r="466" spans="1:18">
      <c r="A466" s="53"/>
      <c r="B466" s="3"/>
      <c r="C466" s="9"/>
      <c r="D466" s="3"/>
      <c r="E466" s="3"/>
      <c r="F466" s="3"/>
      <c r="G466" s="53"/>
      <c r="H466" s="53"/>
      <c r="I466" s="53"/>
      <c r="J466" s="54"/>
      <c r="K466" s="53"/>
      <c r="L466" s="53"/>
      <c r="M466" s="53"/>
      <c r="N466" s="53"/>
      <c r="O466" s="53"/>
      <c r="P466" s="54"/>
      <c r="Q466" s="53"/>
      <c r="R466" s="53"/>
    </row>
    <row r="467" spans="1:18">
      <c r="A467" s="53"/>
      <c r="B467" s="3"/>
      <c r="C467" s="9"/>
      <c r="D467" s="3"/>
      <c r="E467" s="3"/>
      <c r="F467" s="3"/>
      <c r="G467" s="53"/>
      <c r="H467" s="53"/>
      <c r="I467" s="53"/>
      <c r="J467" s="54"/>
      <c r="K467" s="53"/>
      <c r="L467" s="53"/>
      <c r="M467" s="53"/>
      <c r="N467" s="53"/>
      <c r="O467" s="53"/>
      <c r="P467" s="54"/>
      <c r="Q467" s="53"/>
      <c r="R467" s="53"/>
    </row>
    <row r="468" spans="1:18">
      <c r="A468" s="53"/>
      <c r="B468" s="3"/>
      <c r="C468" s="9"/>
      <c r="D468" s="3"/>
      <c r="E468" s="3"/>
      <c r="F468" s="3"/>
      <c r="G468" s="53"/>
      <c r="H468" s="53"/>
      <c r="I468" s="53"/>
      <c r="J468" s="54"/>
      <c r="K468" s="53"/>
      <c r="L468" s="53"/>
      <c r="M468" s="53"/>
      <c r="N468" s="53"/>
      <c r="O468" s="53"/>
      <c r="P468" s="54"/>
      <c r="Q468" s="53"/>
      <c r="R468" s="53"/>
    </row>
    <row r="469" spans="1:18">
      <c r="A469" s="53"/>
      <c r="B469" s="3"/>
      <c r="C469" s="9"/>
      <c r="D469" s="3"/>
      <c r="E469" s="3"/>
      <c r="F469" s="3"/>
      <c r="G469" s="53"/>
      <c r="H469" s="53"/>
      <c r="I469" s="53"/>
      <c r="J469" s="54"/>
      <c r="K469" s="53"/>
      <c r="L469" s="53"/>
      <c r="M469" s="53"/>
      <c r="N469" s="53"/>
      <c r="O469" s="53"/>
      <c r="P469" s="54"/>
      <c r="Q469" s="53"/>
      <c r="R469" s="53"/>
    </row>
    <row r="470" spans="1:18">
      <c r="A470" s="53"/>
      <c r="B470" s="3"/>
      <c r="C470" s="9"/>
      <c r="D470" s="3"/>
      <c r="E470" s="3"/>
      <c r="F470" s="3"/>
      <c r="G470" s="53"/>
      <c r="H470" s="53"/>
      <c r="I470" s="53"/>
      <c r="J470" s="54"/>
      <c r="K470" s="53"/>
      <c r="L470" s="53"/>
      <c r="M470" s="53"/>
      <c r="N470" s="53"/>
      <c r="O470" s="53"/>
      <c r="P470" s="54"/>
      <c r="Q470" s="53"/>
      <c r="R470" s="53"/>
    </row>
    <row r="471" spans="1:18">
      <c r="A471" s="53"/>
      <c r="B471" s="3"/>
      <c r="C471" s="9"/>
      <c r="D471" s="3"/>
      <c r="E471" s="3"/>
      <c r="F471" s="3"/>
      <c r="G471" s="53"/>
      <c r="H471" s="53"/>
      <c r="I471" s="53"/>
      <c r="J471" s="54"/>
      <c r="K471" s="53"/>
      <c r="L471" s="53"/>
      <c r="M471" s="53"/>
      <c r="N471" s="53"/>
      <c r="O471" s="53"/>
      <c r="P471" s="54"/>
      <c r="Q471" s="53"/>
      <c r="R471" s="53"/>
    </row>
    <row r="472" spans="1:18">
      <c r="A472" s="53"/>
      <c r="B472" s="3"/>
      <c r="C472" s="9"/>
      <c r="D472" s="3"/>
      <c r="E472" s="3"/>
      <c r="F472" s="3"/>
      <c r="G472" s="53"/>
      <c r="H472" s="53"/>
      <c r="I472" s="53"/>
      <c r="J472" s="54"/>
      <c r="K472" s="53"/>
      <c r="L472" s="53"/>
      <c r="M472" s="53"/>
      <c r="N472" s="53"/>
      <c r="O472" s="53"/>
      <c r="P472" s="54"/>
      <c r="Q472" s="53"/>
      <c r="R472" s="53"/>
    </row>
    <row r="473" spans="1:18">
      <c r="A473" s="53"/>
      <c r="B473" s="3"/>
      <c r="C473" s="9"/>
      <c r="D473" s="3"/>
      <c r="E473" s="3"/>
      <c r="F473" s="3"/>
      <c r="G473" s="53"/>
      <c r="H473" s="53"/>
      <c r="I473" s="53"/>
      <c r="J473" s="54"/>
      <c r="K473" s="53"/>
      <c r="L473" s="53"/>
      <c r="M473" s="53"/>
      <c r="N473" s="53"/>
      <c r="O473" s="53"/>
      <c r="P473" s="54"/>
      <c r="Q473" s="53"/>
      <c r="R473" s="53"/>
    </row>
    <row r="474" spans="1:18">
      <c r="A474" s="53"/>
      <c r="B474" s="3"/>
      <c r="C474" s="9"/>
      <c r="D474" s="3"/>
      <c r="E474" s="3"/>
      <c r="F474" s="3"/>
      <c r="G474" s="53"/>
      <c r="H474" s="53"/>
      <c r="I474" s="53"/>
      <c r="J474" s="54"/>
      <c r="K474" s="53"/>
      <c r="L474" s="53"/>
      <c r="M474" s="53"/>
      <c r="N474" s="53"/>
      <c r="O474" s="53"/>
      <c r="P474" s="54"/>
      <c r="Q474" s="53"/>
      <c r="R474" s="53"/>
    </row>
    <row r="475" spans="1:18">
      <c r="A475" s="53"/>
      <c r="B475" s="3"/>
      <c r="C475" s="9"/>
      <c r="D475" s="3"/>
      <c r="E475" s="3"/>
      <c r="F475" s="3"/>
      <c r="G475" s="53"/>
      <c r="H475" s="53"/>
      <c r="I475" s="53"/>
      <c r="J475" s="54"/>
      <c r="K475" s="53"/>
      <c r="L475" s="53"/>
      <c r="M475" s="53"/>
      <c r="N475" s="53"/>
      <c r="O475" s="53"/>
      <c r="P475" s="54"/>
      <c r="Q475" s="53"/>
      <c r="R475" s="53"/>
    </row>
    <row r="476" spans="1:18">
      <c r="A476" s="53"/>
      <c r="B476" s="3"/>
      <c r="C476" s="9"/>
      <c r="D476" s="3"/>
      <c r="E476" s="3"/>
      <c r="F476" s="3"/>
      <c r="G476" s="53"/>
      <c r="H476" s="53"/>
      <c r="I476" s="53"/>
      <c r="J476" s="54"/>
      <c r="K476" s="53"/>
      <c r="L476" s="53"/>
      <c r="M476" s="53"/>
      <c r="N476" s="53"/>
      <c r="O476" s="53"/>
      <c r="P476" s="54"/>
      <c r="Q476" s="53"/>
      <c r="R476" s="53"/>
    </row>
    <row r="477" spans="1:18">
      <c r="A477" s="53"/>
      <c r="B477" s="3"/>
      <c r="C477" s="9"/>
      <c r="D477" s="3"/>
      <c r="E477" s="3"/>
      <c r="F477" s="3"/>
      <c r="G477" s="53"/>
      <c r="H477" s="53"/>
      <c r="I477" s="53"/>
      <c r="J477" s="54"/>
      <c r="K477" s="53"/>
      <c r="L477" s="53"/>
      <c r="M477" s="53"/>
      <c r="N477" s="53"/>
      <c r="O477" s="53"/>
      <c r="P477" s="54"/>
      <c r="Q477" s="53"/>
      <c r="R477" s="53"/>
    </row>
    <row r="478" spans="1:18">
      <c r="A478" s="53"/>
      <c r="B478" s="3"/>
      <c r="C478" s="9"/>
      <c r="D478" s="3"/>
      <c r="E478" s="3"/>
      <c r="F478" s="3"/>
      <c r="G478" s="53"/>
      <c r="H478" s="53"/>
      <c r="I478" s="53"/>
      <c r="J478" s="54"/>
      <c r="K478" s="53"/>
      <c r="L478" s="53"/>
      <c r="M478" s="53"/>
      <c r="N478" s="53"/>
      <c r="O478" s="53"/>
      <c r="P478" s="54"/>
      <c r="Q478" s="53"/>
      <c r="R478" s="53"/>
    </row>
    <row r="479" spans="1:18">
      <c r="A479" s="53"/>
      <c r="B479" s="3"/>
      <c r="C479" s="9"/>
      <c r="D479" s="3"/>
      <c r="E479" s="3"/>
      <c r="F479" s="3"/>
      <c r="G479" s="53"/>
      <c r="H479" s="53"/>
      <c r="I479" s="53"/>
      <c r="J479" s="54"/>
      <c r="K479" s="53"/>
      <c r="L479" s="53"/>
      <c r="M479" s="53"/>
      <c r="N479" s="53"/>
      <c r="O479" s="53"/>
      <c r="P479" s="54"/>
      <c r="Q479" s="53"/>
      <c r="R479" s="53"/>
    </row>
    <row r="480" spans="1:18">
      <c r="A480" s="53"/>
      <c r="B480" s="3"/>
      <c r="C480" s="9"/>
      <c r="D480" s="3"/>
      <c r="E480" s="3"/>
      <c r="F480" s="3"/>
      <c r="G480" s="53"/>
      <c r="H480" s="53"/>
      <c r="I480" s="53"/>
      <c r="J480" s="54"/>
      <c r="K480" s="53"/>
      <c r="L480" s="53"/>
      <c r="M480" s="53"/>
      <c r="N480" s="53"/>
      <c r="O480" s="53"/>
      <c r="P480" s="54"/>
      <c r="Q480" s="53"/>
      <c r="R480" s="53"/>
    </row>
    <row r="481" spans="1:18">
      <c r="A481" s="53"/>
      <c r="B481" s="3"/>
      <c r="C481" s="9"/>
      <c r="D481" s="3"/>
      <c r="E481" s="3"/>
      <c r="F481" s="3"/>
      <c r="G481" s="53"/>
      <c r="H481" s="53"/>
      <c r="I481" s="53"/>
      <c r="J481" s="54"/>
      <c r="K481" s="53"/>
      <c r="L481" s="53"/>
      <c r="M481" s="53"/>
      <c r="N481" s="53"/>
      <c r="O481" s="53"/>
      <c r="P481" s="54"/>
      <c r="Q481" s="53"/>
      <c r="R481" s="53"/>
    </row>
    <row r="482" spans="1:18">
      <c r="A482" s="53"/>
      <c r="B482" s="3"/>
      <c r="C482" s="9"/>
      <c r="D482" s="3"/>
      <c r="E482" s="3"/>
      <c r="F482" s="3"/>
      <c r="G482" s="53"/>
      <c r="H482" s="53"/>
      <c r="I482" s="53"/>
      <c r="J482" s="54"/>
      <c r="K482" s="53"/>
      <c r="L482" s="53"/>
      <c r="M482" s="53"/>
      <c r="N482" s="53"/>
      <c r="O482" s="53"/>
      <c r="P482" s="54"/>
      <c r="Q482" s="53"/>
      <c r="R482" s="53"/>
    </row>
    <row r="483" spans="1:18">
      <c r="A483" s="53"/>
      <c r="B483" s="3"/>
      <c r="C483" s="9"/>
      <c r="D483" s="3"/>
      <c r="E483" s="3"/>
      <c r="F483" s="3"/>
      <c r="G483" s="53"/>
      <c r="H483" s="53"/>
      <c r="I483" s="53"/>
      <c r="J483" s="54"/>
      <c r="K483" s="53"/>
      <c r="L483" s="53"/>
      <c r="M483" s="53"/>
      <c r="N483" s="53"/>
      <c r="O483" s="53"/>
      <c r="P483" s="54"/>
      <c r="Q483" s="53"/>
      <c r="R483" s="53"/>
    </row>
    <row r="484" spans="1:18">
      <c r="A484" s="53"/>
      <c r="B484" s="3"/>
      <c r="C484" s="9"/>
      <c r="D484" s="3"/>
      <c r="E484" s="3"/>
      <c r="F484" s="3"/>
      <c r="G484" s="53"/>
      <c r="H484" s="53"/>
      <c r="I484" s="53"/>
      <c r="J484" s="54"/>
      <c r="K484" s="53"/>
      <c r="L484" s="53"/>
      <c r="M484" s="53"/>
      <c r="N484" s="53"/>
      <c r="O484" s="53"/>
      <c r="P484" s="54"/>
      <c r="Q484" s="53"/>
      <c r="R484" s="53"/>
    </row>
    <row r="485" spans="1:18">
      <c r="A485" s="53"/>
      <c r="B485" s="3"/>
      <c r="C485" s="9"/>
      <c r="D485" s="3"/>
      <c r="E485" s="3"/>
      <c r="F485" s="3"/>
      <c r="G485" s="53"/>
      <c r="H485" s="53"/>
      <c r="I485" s="53"/>
      <c r="J485" s="54"/>
      <c r="K485" s="53"/>
      <c r="L485" s="53"/>
      <c r="M485" s="53"/>
      <c r="N485" s="53"/>
      <c r="O485" s="53"/>
      <c r="P485" s="54"/>
      <c r="Q485" s="53"/>
      <c r="R485" s="53"/>
    </row>
    <row r="486" spans="1:18">
      <c r="A486" s="53"/>
      <c r="B486" s="3"/>
      <c r="C486" s="9"/>
      <c r="D486" s="3"/>
      <c r="E486" s="3"/>
      <c r="F486" s="3"/>
      <c r="G486" s="53"/>
      <c r="H486" s="53"/>
      <c r="I486" s="53"/>
      <c r="J486" s="54"/>
      <c r="K486" s="53"/>
      <c r="L486" s="53"/>
      <c r="M486" s="53"/>
      <c r="N486" s="53"/>
      <c r="O486" s="53"/>
      <c r="P486" s="54"/>
      <c r="Q486" s="53"/>
      <c r="R486" s="53"/>
    </row>
    <row r="487" spans="1:18">
      <c r="A487" s="53"/>
      <c r="B487" s="3"/>
      <c r="C487" s="9"/>
      <c r="D487" s="3"/>
      <c r="E487" s="3"/>
      <c r="F487" s="3"/>
      <c r="G487" s="53"/>
      <c r="H487" s="53"/>
      <c r="I487" s="53"/>
      <c r="J487" s="54"/>
      <c r="K487" s="53"/>
      <c r="L487" s="53"/>
      <c r="M487" s="53"/>
      <c r="N487" s="53"/>
      <c r="O487" s="53"/>
      <c r="P487" s="54"/>
      <c r="Q487" s="53"/>
      <c r="R487" s="53"/>
    </row>
    <row r="488" spans="1:18">
      <c r="A488" s="53"/>
      <c r="B488" s="3"/>
      <c r="C488" s="9"/>
      <c r="D488" s="3"/>
      <c r="E488" s="3"/>
      <c r="F488" s="3"/>
      <c r="G488" s="53"/>
      <c r="H488" s="53"/>
      <c r="I488" s="53"/>
      <c r="J488" s="54"/>
      <c r="K488" s="53"/>
      <c r="L488" s="53"/>
      <c r="M488" s="53"/>
      <c r="N488" s="53"/>
      <c r="O488" s="53"/>
      <c r="P488" s="54"/>
      <c r="Q488" s="53"/>
      <c r="R488" s="53"/>
    </row>
    <row r="489" spans="1:18">
      <c r="A489" s="53"/>
      <c r="B489" s="3"/>
      <c r="C489" s="9"/>
      <c r="D489" s="3"/>
      <c r="E489" s="3"/>
      <c r="F489" s="3"/>
      <c r="G489" s="53"/>
      <c r="H489" s="53"/>
      <c r="I489" s="53"/>
      <c r="J489" s="54"/>
      <c r="K489" s="53"/>
      <c r="L489" s="53"/>
      <c r="M489" s="53"/>
      <c r="N489" s="53"/>
      <c r="O489" s="53"/>
      <c r="P489" s="54"/>
      <c r="Q489" s="53"/>
      <c r="R489" s="53"/>
    </row>
    <row r="490" spans="1:18">
      <c r="A490" s="53"/>
      <c r="B490" s="3"/>
      <c r="C490" s="9"/>
      <c r="D490" s="3"/>
      <c r="E490" s="3"/>
      <c r="F490" s="3"/>
      <c r="G490" s="53"/>
      <c r="H490" s="53"/>
      <c r="I490" s="53"/>
      <c r="J490" s="54"/>
      <c r="K490" s="53"/>
      <c r="L490" s="53"/>
      <c r="M490" s="53"/>
      <c r="N490" s="53"/>
      <c r="O490" s="53"/>
      <c r="P490" s="54"/>
      <c r="Q490" s="53"/>
      <c r="R490" s="53"/>
    </row>
    <row r="491" spans="1:18">
      <c r="A491" s="53"/>
      <c r="B491" s="3"/>
      <c r="C491" s="9"/>
      <c r="D491" s="3"/>
      <c r="E491" s="3"/>
      <c r="F491" s="3"/>
      <c r="G491" s="53"/>
      <c r="H491" s="53"/>
      <c r="I491" s="53"/>
      <c r="J491" s="54"/>
      <c r="K491" s="53"/>
      <c r="L491" s="53"/>
      <c r="M491" s="53"/>
      <c r="N491" s="53"/>
      <c r="O491" s="53"/>
      <c r="P491" s="54"/>
      <c r="Q491" s="53"/>
      <c r="R491" s="53"/>
    </row>
    <row r="492" spans="1:18">
      <c r="A492" s="53"/>
      <c r="B492" s="3"/>
      <c r="C492" s="9"/>
      <c r="D492" s="3"/>
      <c r="E492" s="3"/>
      <c r="F492" s="3"/>
      <c r="G492" s="53"/>
      <c r="H492" s="53"/>
      <c r="I492" s="53"/>
      <c r="J492" s="54"/>
      <c r="K492" s="53"/>
      <c r="L492" s="53"/>
      <c r="M492" s="53"/>
      <c r="N492" s="53"/>
      <c r="O492" s="53"/>
      <c r="P492" s="54"/>
      <c r="Q492" s="53"/>
      <c r="R492" s="53"/>
    </row>
    <row r="493" spans="1:18">
      <c r="A493" s="53"/>
      <c r="B493" s="3"/>
      <c r="C493" s="9"/>
      <c r="D493" s="3"/>
      <c r="E493" s="3"/>
      <c r="F493" s="3"/>
      <c r="G493" s="53"/>
      <c r="H493" s="53"/>
      <c r="I493" s="53"/>
      <c r="J493" s="54"/>
      <c r="K493" s="53"/>
      <c r="L493" s="53"/>
      <c r="M493" s="53"/>
      <c r="N493" s="53"/>
      <c r="O493" s="53"/>
      <c r="P493" s="54"/>
      <c r="Q493" s="53"/>
      <c r="R493" s="53"/>
    </row>
    <row r="494" spans="1:18">
      <c r="A494" s="53"/>
      <c r="B494" s="3"/>
      <c r="C494" s="9"/>
      <c r="D494" s="3"/>
      <c r="E494" s="3"/>
      <c r="F494" s="3"/>
      <c r="G494" s="53"/>
      <c r="H494" s="53"/>
      <c r="I494" s="53"/>
      <c r="J494" s="54"/>
      <c r="K494" s="53"/>
      <c r="L494" s="53"/>
      <c r="M494" s="53"/>
      <c r="N494" s="53"/>
      <c r="O494" s="53"/>
      <c r="P494" s="54"/>
      <c r="Q494" s="53"/>
      <c r="R494" s="53"/>
    </row>
    <row r="495" spans="1:18">
      <c r="A495" s="53"/>
      <c r="B495" s="3"/>
      <c r="C495" s="9"/>
      <c r="D495" s="3"/>
      <c r="E495" s="3"/>
      <c r="F495" s="3"/>
      <c r="G495" s="53"/>
      <c r="H495" s="53"/>
      <c r="I495" s="53"/>
      <c r="J495" s="54"/>
      <c r="K495" s="53"/>
      <c r="L495" s="53"/>
      <c r="M495" s="53"/>
      <c r="N495" s="53"/>
      <c r="O495" s="53"/>
      <c r="P495" s="54"/>
      <c r="Q495" s="53"/>
      <c r="R495" s="53"/>
    </row>
    <row r="496" spans="1:18">
      <c r="A496" s="53"/>
      <c r="B496" s="3"/>
      <c r="C496" s="9"/>
      <c r="D496" s="3"/>
      <c r="E496" s="3"/>
      <c r="F496" s="3"/>
      <c r="G496" s="53"/>
      <c r="H496" s="53"/>
      <c r="I496" s="53"/>
      <c r="J496" s="54"/>
      <c r="K496" s="53"/>
      <c r="L496" s="53"/>
      <c r="M496" s="53"/>
      <c r="N496" s="53"/>
      <c r="O496" s="53"/>
      <c r="P496" s="54"/>
      <c r="Q496" s="53"/>
      <c r="R496" s="53"/>
    </row>
    <row r="497" spans="1:18">
      <c r="A497" s="53"/>
      <c r="B497" s="3"/>
      <c r="C497" s="9"/>
      <c r="D497" s="3"/>
      <c r="E497" s="3"/>
      <c r="F497" s="3"/>
      <c r="G497" s="53"/>
      <c r="H497" s="53"/>
      <c r="I497" s="53"/>
      <c r="J497" s="54"/>
      <c r="K497" s="53"/>
      <c r="L497" s="53"/>
      <c r="M497" s="53"/>
      <c r="N497" s="53"/>
      <c r="O497" s="53"/>
      <c r="P497" s="54"/>
      <c r="Q497" s="53"/>
      <c r="R497" s="53"/>
    </row>
    <row r="498" spans="1:18">
      <c r="A498" s="53"/>
      <c r="B498" s="3"/>
      <c r="C498" s="9"/>
      <c r="D498" s="3"/>
      <c r="E498" s="3"/>
      <c r="F498" s="3"/>
      <c r="G498" s="53"/>
      <c r="H498" s="53"/>
      <c r="I498" s="53"/>
      <c r="J498" s="54"/>
      <c r="K498" s="53"/>
      <c r="L498" s="53"/>
      <c r="M498" s="53"/>
      <c r="N498" s="53"/>
      <c r="O498" s="53"/>
      <c r="P498" s="54"/>
      <c r="Q498" s="53"/>
      <c r="R498" s="53"/>
    </row>
    <row r="499" spans="1:18">
      <c r="A499" s="53"/>
      <c r="B499" s="3"/>
      <c r="C499" s="9"/>
      <c r="D499" s="3"/>
      <c r="E499" s="3"/>
      <c r="F499" s="3"/>
      <c r="G499" s="53"/>
      <c r="H499" s="53"/>
      <c r="I499" s="53"/>
      <c r="J499" s="54"/>
      <c r="K499" s="53"/>
      <c r="L499" s="53"/>
      <c r="M499" s="53"/>
      <c r="N499" s="53"/>
      <c r="O499" s="53"/>
      <c r="P499" s="54"/>
      <c r="Q499" s="53"/>
      <c r="R499" s="53"/>
    </row>
    <row r="500" spans="1:18">
      <c r="A500" s="53"/>
      <c r="B500" s="3"/>
      <c r="C500" s="9"/>
      <c r="D500" s="3"/>
      <c r="E500" s="3"/>
      <c r="F500" s="3"/>
      <c r="G500" s="53"/>
      <c r="H500" s="53"/>
      <c r="I500" s="53"/>
      <c r="J500" s="54"/>
      <c r="K500" s="53"/>
      <c r="L500" s="53"/>
      <c r="M500" s="53"/>
      <c r="N500" s="53"/>
      <c r="O500" s="53"/>
      <c r="P500" s="54"/>
      <c r="Q500" s="53"/>
      <c r="R500" s="53"/>
    </row>
    <row r="501" spans="1:18">
      <c r="A501" s="53"/>
      <c r="B501" s="3"/>
      <c r="C501" s="9"/>
      <c r="D501" s="3"/>
      <c r="E501" s="3"/>
      <c r="F501" s="3"/>
      <c r="G501" s="53"/>
      <c r="H501" s="53"/>
      <c r="I501" s="53"/>
      <c r="J501" s="54"/>
      <c r="K501" s="53"/>
      <c r="L501" s="53"/>
      <c r="M501" s="53"/>
      <c r="N501" s="53"/>
      <c r="O501" s="53"/>
      <c r="P501" s="54"/>
      <c r="Q501" s="53"/>
      <c r="R501" s="53"/>
    </row>
    <row r="502" spans="1:18">
      <c r="A502" s="53"/>
      <c r="B502" s="3"/>
      <c r="C502" s="9"/>
      <c r="D502" s="3"/>
      <c r="E502" s="3"/>
      <c r="F502" s="3"/>
      <c r="G502" s="53"/>
      <c r="H502" s="53"/>
      <c r="I502" s="53"/>
      <c r="J502" s="54"/>
      <c r="K502" s="53"/>
      <c r="L502" s="53"/>
      <c r="M502" s="53"/>
      <c r="N502" s="53"/>
      <c r="O502" s="53"/>
      <c r="P502" s="54"/>
      <c r="Q502" s="53"/>
      <c r="R502" s="53"/>
    </row>
    <row r="503" spans="1:18">
      <c r="A503" s="53"/>
      <c r="B503" s="3"/>
      <c r="C503" s="9"/>
      <c r="D503" s="3"/>
      <c r="E503" s="3"/>
      <c r="F503" s="3"/>
      <c r="G503" s="53"/>
      <c r="H503" s="53"/>
      <c r="I503" s="53"/>
      <c r="J503" s="54"/>
      <c r="K503" s="53"/>
      <c r="L503" s="53"/>
      <c r="M503" s="53"/>
      <c r="N503" s="53"/>
      <c r="O503" s="53"/>
      <c r="P503" s="54"/>
      <c r="Q503" s="53"/>
      <c r="R503" s="53"/>
    </row>
    <row r="504" spans="1:18">
      <c r="A504" s="53"/>
      <c r="B504" s="3"/>
      <c r="C504" s="9"/>
      <c r="D504" s="3"/>
      <c r="E504" s="3"/>
      <c r="F504" s="3"/>
      <c r="G504" s="53"/>
      <c r="H504" s="53"/>
      <c r="I504" s="53"/>
      <c r="J504" s="54"/>
      <c r="K504" s="53"/>
      <c r="L504" s="53"/>
      <c r="M504" s="53"/>
      <c r="N504" s="53"/>
      <c r="O504" s="53"/>
      <c r="P504" s="54"/>
      <c r="Q504" s="53"/>
      <c r="R504" s="53"/>
    </row>
    <row r="505" spans="1:18">
      <c r="A505" s="53"/>
      <c r="B505" s="3"/>
      <c r="C505" s="9"/>
      <c r="D505" s="3"/>
      <c r="E505" s="3"/>
      <c r="F505" s="3"/>
      <c r="G505" s="53"/>
      <c r="H505" s="53"/>
      <c r="I505" s="53"/>
      <c r="J505" s="54"/>
      <c r="K505" s="53"/>
      <c r="L505" s="53"/>
      <c r="M505" s="53"/>
      <c r="N505" s="53"/>
      <c r="O505" s="53"/>
      <c r="P505" s="54"/>
      <c r="Q505" s="53"/>
      <c r="R505" s="53"/>
    </row>
    <row r="506" spans="1:18">
      <c r="A506" s="53"/>
      <c r="B506" s="3"/>
      <c r="C506" s="9"/>
      <c r="D506" s="3"/>
      <c r="E506" s="3"/>
      <c r="F506" s="3"/>
      <c r="G506" s="53"/>
      <c r="H506" s="53"/>
      <c r="I506" s="53"/>
      <c r="J506" s="54"/>
      <c r="K506" s="53"/>
      <c r="L506" s="53"/>
      <c r="M506" s="53"/>
      <c r="N506" s="53"/>
      <c r="O506" s="53"/>
      <c r="P506" s="54"/>
      <c r="Q506" s="53"/>
      <c r="R506" s="53"/>
    </row>
    <row r="507" spans="1:18">
      <c r="A507" s="53"/>
      <c r="B507" s="3"/>
      <c r="C507" s="9"/>
      <c r="D507" s="3"/>
      <c r="E507" s="3"/>
      <c r="F507" s="3"/>
      <c r="G507" s="53"/>
      <c r="H507" s="53"/>
      <c r="I507" s="53"/>
      <c r="J507" s="54"/>
      <c r="K507" s="53"/>
      <c r="L507" s="53"/>
      <c r="M507" s="53"/>
      <c r="N507" s="53"/>
      <c r="O507" s="53"/>
      <c r="P507" s="54"/>
      <c r="Q507" s="53"/>
      <c r="R507" s="53"/>
    </row>
    <row r="508" spans="1:18">
      <c r="A508" s="53"/>
      <c r="B508" s="3"/>
      <c r="C508" s="9"/>
      <c r="D508" s="3"/>
      <c r="E508" s="3"/>
      <c r="F508" s="3"/>
      <c r="G508" s="53"/>
      <c r="H508" s="53"/>
      <c r="I508" s="53"/>
      <c r="J508" s="54"/>
      <c r="K508" s="53"/>
      <c r="L508" s="53"/>
      <c r="M508" s="53"/>
      <c r="N508" s="53"/>
      <c r="O508" s="53"/>
      <c r="P508" s="54"/>
      <c r="Q508" s="53"/>
      <c r="R508" s="53"/>
    </row>
    <row r="509" spans="1:18">
      <c r="A509" s="53"/>
      <c r="B509" s="3"/>
      <c r="C509" s="9"/>
      <c r="D509" s="3"/>
      <c r="E509" s="3"/>
      <c r="F509" s="3"/>
      <c r="G509" s="53"/>
      <c r="H509" s="53"/>
      <c r="I509" s="53"/>
      <c r="J509" s="54"/>
      <c r="K509" s="53"/>
      <c r="L509" s="53"/>
      <c r="M509" s="53"/>
      <c r="N509" s="53"/>
      <c r="O509" s="53"/>
      <c r="P509" s="54"/>
      <c r="Q509" s="53"/>
      <c r="R509" s="53"/>
    </row>
    <row r="510" spans="1:18">
      <c r="A510" s="53"/>
      <c r="B510" s="3"/>
      <c r="C510" s="9"/>
      <c r="D510" s="3"/>
      <c r="E510" s="3"/>
      <c r="F510" s="3"/>
      <c r="G510" s="53"/>
      <c r="H510" s="53"/>
      <c r="I510" s="53"/>
      <c r="J510" s="54"/>
      <c r="K510" s="53"/>
      <c r="L510" s="53"/>
      <c r="M510" s="53"/>
      <c r="N510" s="53"/>
      <c r="O510" s="53"/>
      <c r="P510" s="54"/>
      <c r="Q510" s="53"/>
      <c r="R510" s="53"/>
    </row>
    <row r="511" spans="1:18">
      <c r="A511" s="53"/>
      <c r="B511" s="3"/>
      <c r="C511" s="9"/>
      <c r="D511" s="3"/>
      <c r="E511" s="3"/>
      <c r="F511" s="3"/>
      <c r="G511" s="53"/>
      <c r="H511" s="53"/>
      <c r="I511" s="53"/>
      <c r="J511" s="54"/>
      <c r="K511" s="53"/>
      <c r="L511" s="53"/>
      <c r="M511" s="53"/>
      <c r="N511" s="53"/>
      <c r="O511" s="53"/>
      <c r="P511" s="54"/>
      <c r="Q511" s="53"/>
      <c r="R511" s="53"/>
    </row>
    <row r="512" spans="1:18">
      <c r="A512" s="53"/>
      <c r="B512" s="3"/>
      <c r="C512" s="9"/>
      <c r="D512" s="3"/>
      <c r="E512" s="3"/>
      <c r="F512" s="3"/>
      <c r="G512" s="53"/>
      <c r="H512" s="53"/>
      <c r="I512" s="53"/>
      <c r="J512" s="54"/>
      <c r="K512" s="53"/>
      <c r="L512" s="53"/>
      <c r="M512" s="53"/>
      <c r="N512" s="53"/>
      <c r="O512" s="53"/>
      <c r="P512" s="54"/>
      <c r="Q512" s="53"/>
      <c r="R512" s="53"/>
    </row>
    <row r="513" spans="1:18">
      <c r="A513" s="53"/>
      <c r="B513" s="3"/>
      <c r="C513" s="9"/>
      <c r="D513" s="3"/>
      <c r="E513" s="3"/>
      <c r="F513" s="3"/>
      <c r="G513" s="53"/>
      <c r="H513" s="53"/>
      <c r="I513" s="53"/>
      <c r="J513" s="54"/>
      <c r="K513" s="53"/>
      <c r="L513" s="53"/>
      <c r="M513" s="53"/>
      <c r="N513" s="53"/>
      <c r="O513" s="53"/>
      <c r="P513" s="54"/>
      <c r="Q513" s="53"/>
      <c r="R513" s="53"/>
    </row>
    <row r="514" spans="1:18">
      <c r="A514" s="53"/>
      <c r="B514" s="3"/>
      <c r="C514" s="9"/>
      <c r="D514" s="3"/>
      <c r="E514" s="3"/>
      <c r="F514" s="3"/>
      <c r="G514" s="53"/>
      <c r="H514" s="53"/>
      <c r="I514" s="53"/>
      <c r="J514" s="54"/>
      <c r="K514" s="53"/>
      <c r="L514" s="53"/>
      <c r="M514" s="53"/>
      <c r="N514" s="53"/>
      <c r="O514" s="53"/>
      <c r="P514" s="54"/>
      <c r="Q514" s="53"/>
      <c r="R514" s="53"/>
    </row>
    <row r="515" spans="1:18">
      <c r="A515" s="53"/>
      <c r="B515" s="3"/>
      <c r="C515" s="9"/>
      <c r="D515" s="3"/>
      <c r="E515" s="3"/>
      <c r="F515" s="3"/>
      <c r="G515" s="53"/>
      <c r="H515" s="53"/>
      <c r="I515" s="53"/>
      <c r="J515" s="54"/>
      <c r="K515" s="53"/>
      <c r="L515" s="53"/>
      <c r="M515" s="53"/>
      <c r="N515" s="53"/>
      <c r="O515" s="53"/>
      <c r="P515" s="54"/>
      <c r="Q515" s="53"/>
      <c r="R515" s="53"/>
    </row>
    <row r="516" spans="1:18">
      <c r="A516" s="53"/>
      <c r="B516" s="3"/>
      <c r="C516" s="9"/>
      <c r="D516" s="3"/>
      <c r="E516" s="3"/>
      <c r="F516" s="3"/>
      <c r="G516" s="53"/>
      <c r="H516" s="53"/>
      <c r="I516" s="53"/>
      <c r="J516" s="54"/>
      <c r="K516" s="53"/>
      <c r="L516" s="53"/>
      <c r="M516" s="53"/>
      <c r="N516" s="53"/>
      <c r="O516" s="53"/>
      <c r="P516" s="54"/>
      <c r="Q516" s="53"/>
      <c r="R516" s="53"/>
    </row>
    <row r="517" spans="1:18">
      <c r="A517" s="53"/>
      <c r="B517" s="3"/>
      <c r="C517" s="9"/>
      <c r="D517" s="3"/>
      <c r="E517" s="3"/>
      <c r="F517" s="3"/>
      <c r="G517" s="53"/>
      <c r="H517" s="53"/>
      <c r="I517" s="53"/>
      <c r="J517" s="54"/>
      <c r="K517" s="53"/>
      <c r="L517" s="53"/>
      <c r="M517" s="53"/>
      <c r="N517" s="53"/>
      <c r="O517" s="53"/>
      <c r="P517" s="54"/>
      <c r="Q517" s="53"/>
      <c r="R517" s="53"/>
    </row>
    <row r="518" spans="1:18">
      <c r="A518" s="53"/>
      <c r="B518" s="3"/>
      <c r="C518" s="9"/>
      <c r="D518" s="3"/>
      <c r="E518" s="3"/>
      <c r="F518" s="3"/>
      <c r="G518" s="53"/>
      <c r="H518" s="53"/>
      <c r="I518" s="53"/>
      <c r="J518" s="54"/>
      <c r="K518" s="53"/>
      <c r="L518" s="53"/>
      <c r="M518" s="53"/>
      <c r="N518" s="53"/>
      <c r="O518" s="53"/>
      <c r="P518" s="54"/>
      <c r="Q518" s="53"/>
      <c r="R518" s="53"/>
    </row>
    <row r="519" spans="1:18">
      <c r="A519" s="53"/>
      <c r="B519" s="3"/>
      <c r="C519" s="9"/>
      <c r="D519" s="3"/>
      <c r="E519" s="3"/>
      <c r="F519" s="3"/>
      <c r="G519" s="53"/>
      <c r="H519" s="53"/>
      <c r="I519" s="53"/>
      <c r="J519" s="54"/>
      <c r="K519" s="53"/>
      <c r="L519" s="53"/>
      <c r="M519" s="53"/>
      <c r="N519" s="53"/>
      <c r="O519" s="53"/>
      <c r="P519" s="54"/>
      <c r="Q519" s="53"/>
      <c r="R519" s="53"/>
    </row>
    <row r="520" spans="1:18">
      <c r="A520" s="53"/>
      <c r="B520" s="3"/>
      <c r="C520" s="9"/>
      <c r="D520" s="3"/>
      <c r="E520" s="3"/>
      <c r="F520" s="3"/>
      <c r="G520" s="53"/>
      <c r="H520" s="53"/>
      <c r="I520" s="53"/>
      <c r="J520" s="54"/>
      <c r="K520" s="53"/>
      <c r="L520" s="53"/>
      <c r="M520" s="53"/>
      <c r="N520" s="53"/>
      <c r="O520" s="53"/>
      <c r="P520" s="54"/>
      <c r="Q520" s="53"/>
      <c r="R520" s="53"/>
    </row>
    <row r="521" spans="1:18">
      <c r="A521" s="53"/>
      <c r="B521" s="3"/>
      <c r="C521" s="9"/>
      <c r="D521" s="3"/>
      <c r="E521" s="3"/>
      <c r="F521" s="3"/>
      <c r="G521" s="53"/>
      <c r="H521" s="53"/>
      <c r="I521" s="53"/>
      <c r="J521" s="54"/>
      <c r="K521" s="53"/>
      <c r="L521" s="53"/>
      <c r="M521" s="53"/>
      <c r="N521" s="53"/>
      <c r="O521" s="53"/>
      <c r="P521" s="54"/>
      <c r="Q521" s="53"/>
      <c r="R521" s="53"/>
    </row>
    <row r="522" spans="1:18">
      <c r="A522" s="53"/>
      <c r="B522" s="3"/>
      <c r="C522" s="9"/>
      <c r="D522" s="3"/>
      <c r="E522" s="3"/>
      <c r="F522" s="3"/>
      <c r="G522" s="53"/>
      <c r="H522" s="53"/>
      <c r="I522" s="53"/>
      <c r="J522" s="54"/>
      <c r="K522" s="53"/>
      <c r="L522" s="53"/>
      <c r="M522" s="53"/>
      <c r="N522" s="53"/>
      <c r="O522" s="53"/>
      <c r="P522" s="54"/>
      <c r="Q522" s="53"/>
      <c r="R522" s="53"/>
    </row>
    <row r="523" spans="1:18">
      <c r="A523" s="53"/>
      <c r="B523" s="3"/>
      <c r="C523" s="9"/>
      <c r="D523" s="3"/>
      <c r="E523" s="3"/>
      <c r="F523" s="3"/>
      <c r="G523" s="53"/>
      <c r="H523" s="53"/>
      <c r="I523" s="53"/>
      <c r="J523" s="54"/>
      <c r="K523" s="53"/>
      <c r="L523" s="53"/>
      <c r="M523" s="53"/>
      <c r="N523" s="53"/>
      <c r="O523" s="53"/>
      <c r="P523" s="54"/>
      <c r="Q523" s="53"/>
      <c r="R523" s="53"/>
    </row>
    <row r="524" spans="1:18">
      <c r="A524" s="53"/>
      <c r="B524" s="3"/>
      <c r="C524" s="9"/>
      <c r="D524" s="3"/>
      <c r="E524" s="3"/>
      <c r="F524" s="3"/>
      <c r="G524" s="53"/>
      <c r="H524" s="53"/>
      <c r="I524" s="53"/>
      <c r="J524" s="54"/>
      <c r="K524" s="53"/>
      <c r="L524" s="53"/>
      <c r="M524" s="53"/>
      <c r="N524" s="53"/>
      <c r="O524" s="53"/>
      <c r="P524" s="54"/>
      <c r="Q524" s="53"/>
      <c r="R524" s="53"/>
    </row>
    <row r="525" spans="1:18">
      <c r="A525" s="53"/>
      <c r="B525" s="3"/>
      <c r="C525" s="9"/>
      <c r="D525" s="3"/>
      <c r="E525" s="3"/>
      <c r="F525" s="3"/>
      <c r="G525" s="53"/>
      <c r="H525" s="53"/>
      <c r="I525" s="53"/>
      <c r="J525" s="54"/>
      <c r="K525" s="53"/>
      <c r="L525" s="53"/>
      <c r="M525" s="53"/>
      <c r="N525" s="53"/>
      <c r="O525" s="53"/>
      <c r="P525" s="54"/>
      <c r="Q525" s="53"/>
      <c r="R525" s="53"/>
    </row>
    <row r="526" spans="1:18">
      <c r="A526" s="53"/>
      <c r="B526" s="3"/>
      <c r="C526" s="9"/>
      <c r="D526" s="3"/>
      <c r="E526" s="3"/>
      <c r="F526" s="3"/>
      <c r="G526" s="53"/>
      <c r="H526" s="53"/>
      <c r="I526" s="53"/>
      <c r="J526" s="54"/>
      <c r="K526" s="53"/>
      <c r="L526" s="53"/>
      <c r="M526" s="53"/>
      <c r="N526" s="53"/>
      <c r="O526" s="53"/>
      <c r="P526" s="54"/>
      <c r="Q526" s="53"/>
      <c r="R526" s="53"/>
    </row>
    <row r="527" spans="1:18">
      <c r="A527" s="53"/>
      <c r="B527" s="3"/>
      <c r="C527" s="9"/>
      <c r="D527" s="3"/>
      <c r="E527" s="3"/>
      <c r="F527" s="3"/>
      <c r="G527" s="53"/>
      <c r="H527" s="53"/>
      <c r="I527" s="53"/>
      <c r="J527" s="54"/>
      <c r="K527" s="53"/>
      <c r="L527" s="53"/>
      <c r="M527" s="53"/>
      <c r="N527" s="53"/>
      <c r="O527" s="53"/>
      <c r="P527" s="54"/>
      <c r="Q527" s="53"/>
      <c r="R527" s="53"/>
    </row>
    <row r="528" spans="1:18">
      <c r="A528" s="53"/>
      <c r="B528" s="3"/>
      <c r="C528" s="9"/>
      <c r="D528" s="3"/>
      <c r="E528" s="3"/>
      <c r="F528" s="3"/>
      <c r="G528" s="53"/>
      <c r="H528" s="53"/>
      <c r="I528" s="53"/>
      <c r="J528" s="54"/>
      <c r="K528" s="53"/>
      <c r="L528" s="53"/>
      <c r="M528" s="53"/>
      <c r="N528" s="53"/>
      <c r="O528" s="53"/>
      <c r="P528" s="54"/>
      <c r="Q528" s="53"/>
      <c r="R528" s="53"/>
    </row>
    <row r="529" spans="1:18">
      <c r="A529" s="53"/>
      <c r="B529" s="3"/>
      <c r="C529" s="9"/>
      <c r="D529" s="3"/>
      <c r="E529" s="3"/>
      <c r="F529" s="3"/>
      <c r="G529" s="53"/>
      <c r="H529" s="53"/>
      <c r="I529" s="53"/>
      <c r="J529" s="54"/>
      <c r="K529" s="53"/>
      <c r="L529" s="53"/>
      <c r="M529" s="53"/>
      <c r="N529" s="53"/>
      <c r="O529" s="53"/>
      <c r="P529" s="54"/>
      <c r="Q529" s="53"/>
      <c r="R529" s="53"/>
    </row>
    <row r="530" spans="1:18">
      <c r="A530" s="53"/>
      <c r="B530" s="3"/>
      <c r="C530" s="9"/>
      <c r="D530" s="3"/>
      <c r="E530" s="3"/>
      <c r="F530" s="3"/>
      <c r="G530" s="53"/>
      <c r="H530" s="53"/>
      <c r="I530" s="53"/>
      <c r="J530" s="54"/>
      <c r="K530" s="53"/>
      <c r="L530" s="53"/>
      <c r="M530" s="53"/>
      <c r="N530" s="53"/>
      <c r="O530" s="53"/>
      <c r="P530" s="54"/>
      <c r="Q530" s="53"/>
      <c r="R530" s="53"/>
    </row>
    <row r="531" spans="1:18">
      <c r="A531" s="53"/>
      <c r="B531" s="3"/>
      <c r="C531" s="9"/>
      <c r="D531" s="3"/>
      <c r="E531" s="3"/>
      <c r="F531" s="3"/>
      <c r="G531" s="53"/>
      <c r="H531" s="53"/>
      <c r="I531" s="53"/>
      <c r="J531" s="54"/>
      <c r="K531" s="53"/>
      <c r="L531" s="53"/>
      <c r="M531" s="53"/>
      <c r="N531" s="53"/>
      <c r="O531" s="53"/>
      <c r="P531" s="54"/>
      <c r="Q531" s="53"/>
      <c r="R531" s="53"/>
    </row>
    <row r="532" spans="1:18">
      <c r="A532" s="53"/>
      <c r="B532" s="3"/>
      <c r="C532" s="9"/>
      <c r="D532" s="3"/>
      <c r="E532" s="3"/>
      <c r="F532" s="3"/>
      <c r="G532" s="53"/>
      <c r="H532" s="53"/>
      <c r="I532" s="53"/>
      <c r="J532" s="54"/>
      <c r="K532" s="53"/>
      <c r="L532" s="53"/>
      <c r="M532" s="53"/>
      <c r="N532" s="53"/>
      <c r="O532" s="53"/>
      <c r="P532" s="54"/>
      <c r="Q532" s="53"/>
      <c r="R532" s="53"/>
    </row>
    <row r="533" spans="1:18">
      <c r="A533" s="53"/>
      <c r="B533" s="3"/>
      <c r="C533" s="9"/>
      <c r="D533" s="3"/>
      <c r="E533" s="3"/>
      <c r="F533" s="3"/>
      <c r="G533" s="53"/>
      <c r="H533" s="53"/>
      <c r="I533" s="53"/>
      <c r="J533" s="54"/>
      <c r="K533" s="53"/>
      <c r="L533" s="53"/>
      <c r="M533" s="53"/>
      <c r="N533" s="53"/>
      <c r="O533" s="53"/>
      <c r="P533" s="54"/>
      <c r="Q533" s="53"/>
      <c r="R533" s="53"/>
    </row>
    <row r="534" spans="1:18">
      <c r="A534" s="53"/>
      <c r="B534" s="3"/>
      <c r="C534" s="9"/>
      <c r="D534" s="3"/>
      <c r="E534" s="3"/>
      <c r="F534" s="3"/>
      <c r="G534" s="53"/>
      <c r="H534" s="53"/>
      <c r="I534" s="53"/>
      <c r="J534" s="54"/>
      <c r="K534" s="53"/>
      <c r="L534" s="53"/>
      <c r="M534" s="53"/>
      <c r="N534" s="53"/>
      <c r="O534" s="53"/>
      <c r="P534" s="54"/>
      <c r="Q534" s="53"/>
      <c r="R534" s="53"/>
    </row>
    <row r="535" spans="1:18">
      <c r="A535" s="53"/>
      <c r="B535" s="3"/>
      <c r="C535" s="9"/>
      <c r="D535" s="3"/>
      <c r="E535" s="3"/>
      <c r="F535" s="3"/>
      <c r="G535" s="53"/>
      <c r="H535" s="53"/>
      <c r="I535" s="53"/>
      <c r="J535" s="54"/>
      <c r="K535" s="53"/>
      <c r="L535" s="53"/>
      <c r="M535" s="53"/>
      <c r="N535" s="53"/>
      <c r="O535" s="53"/>
      <c r="P535" s="54"/>
      <c r="Q535" s="53"/>
      <c r="R535" s="53"/>
    </row>
    <row r="536" spans="1:18">
      <c r="A536" s="53"/>
      <c r="B536" s="3"/>
      <c r="C536" s="9"/>
      <c r="D536" s="3"/>
      <c r="E536" s="3"/>
      <c r="F536" s="3"/>
      <c r="G536" s="53"/>
      <c r="H536" s="53"/>
      <c r="I536" s="53"/>
      <c r="J536" s="54"/>
      <c r="K536" s="53"/>
      <c r="L536" s="53"/>
      <c r="M536" s="53"/>
      <c r="N536" s="53"/>
      <c r="O536" s="53"/>
      <c r="P536" s="54"/>
      <c r="Q536" s="53"/>
      <c r="R536" s="53"/>
    </row>
    <row r="537" spans="1:18">
      <c r="A537" s="53"/>
      <c r="B537" s="3"/>
      <c r="C537" s="9"/>
      <c r="D537" s="3"/>
      <c r="E537" s="3"/>
      <c r="F537" s="3"/>
      <c r="G537" s="53"/>
      <c r="H537" s="53"/>
      <c r="I537" s="53"/>
      <c r="J537" s="54"/>
      <c r="K537" s="53"/>
      <c r="L537" s="53"/>
      <c r="M537" s="53"/>
      <c r="N537" s="53"/>
      <c r="O537" s="53"/>
      <c r="P537" s="54"/>
      <c r="Q537" s="53"/>
      <c r="R537" s="53"/>
    </row>
    <row r="538" spans="1:18">
      <c r="A538" s="53"/>
      <c r="B538" s="3"/>
      <c r="C538" s="9"/>
      <c r="D538" s="3"/>
      <c r="E538" s="3"/>
      <c r="F538" s="3"/>
      <c r="G538" s="53"/>
      <c r="H538" s="53"/>
      <c r="I538" s="53"/>
      <c r="J538" s="54"/>
      <c r="K538" s="53"/>
      <c r="L538" s="53"/>
      <c r="M538" s="53"/>
      <c r="N538" s="53"/>
      <c r="O538" s="53"/>
      <c r="P538" s="54"/>
      <c r="Q538" s="53"/>
      <c r="R538" s="53"/>
    </row>
    <row r="539" spans="1:18">
      <c r="A539" s="53"/>
      <c r="B539" s="3"/>
      <c r="C539" s="9"/>
      <c r="D539" s="3"/>
      <c r="E539" s="3"/>
      <c r="F539" s="3"/>
      <c r="G539" s="53"/>
      <c r="H539" s="53"/>
      <c r="I539" s="53"/>
      <c r="J539" s="54"/>
      <c r="K539" s="53"/>
      <c r="L539" s="53"/>
      <c r="M539" s="53"/>
      <c r="N539" s="53"/>
      <c r="O539" s="53"/>
      <c r="P539" s="54"/>
      <c r="Q539" s="53"/>
      <c r="R539" s="53"/>
    </row>
    <row r="540" spans="1:18">
      <c r="A540" s="53"/>
      <c r="B540" s="3"/>
      <c r="C540" s="9"/>
      <c r="D540" s="3"/>
      <c r="E540" s="3"/>
      <c r="F540" s="3"/>
      <c r="G540" s="53"/>
      <c r="H540" s="53"/>
      <c r="I540" s="53"/>
      <c r="J540" s="54"/>
      <c r="K540" s="53"/>
      <c r="L540" s="53"/>
      <c r="M540" s="53"/>
      <c r="N540" s="53"/>
      <c r="O540" s="53"/>
      <c r="P540" s="54"/>
      <c r="Q540" s="53"/>
      <c r="R540" s="53"/>
    </row>
    <row r="541" spans="1:18">
      <c r="A541" s="53"/>
      <c r="B541" s="3"/>
      <c r="C541" s="9"/>
      <c r="D541" s="3"/>
      <c r="E541" s="3"/>
      <c r="F541" s="3"/>
      <c r="G541" s="53"/>
      <c r="H541" s="53"/>
      <c r="I541" s="53"/>
      <c r="J541" s="54"/>
      <c r="K541" s="53"/>
      <c r="L541" s="53"/>
      <c r="M541" s="53"/>
      <c r="N541" s="53"/>
      <c r="O541" s="53"/>
      <c r="P541" s="54"/>
      <c r="Q541" s="53"/>
      <c r="R541" s="53"/>
    </row>
    <row r="542" spans="1:18">
      <c r="A542" s="53"/>
      <c r="B542" s="3"/>
      <c r="C542" s="9"/>
      <c r="D542" s="3"/>
      <c r="E542" s="3"/>
      <c r="F542" s="3"/>
      <c r="G542" s="53"/>
      <c r="H542" s="53"/>
      <c r="I542" s="53"/>
      <c r="J542" s="54"/>
      <c r="K542" s="53"/>
      <c r="L542" s="53"/>
      <c r="M542" s="53"/>
      <c r="N542" s="53"/>
      <c r="O542" s="53"/>
      <c r="P542" s="54"/>
      <c r="Q542" s="53"/>
      <c r="R542" s="53"/>
    </row>
    <row r="543" spans="1:18">
      <c r="A543" s="53"/>
      <c r="B543" s="3"/>
      <c r="C543" s="9"/>
      <c r="D543" s="3"/>
      <c r="E543" s="3"/>
      <c r="F543" s="3"/>
      <c r="G543" s="53"/>
      <c r="H543" s="53"/>
      <c r="I543" s="53"/>
      <c r="J543" s="54"/>
      <c r="K543" s="53"/>
      <c r="L543" s="53"/>
      <c r="M543" s="53"/>
      <c r="N543" s="53"/>
      <c r="O543" s="53"/>
      <c r="P543" s="54"/>
      <c r="Q543" s="53"/>
      <c r="R543" s="53"/>
    </row>
    <row r="544" spans="1:18">
      <c r="A544" s="53"/>
      <c r="B544" s="3"/>
      <c r="C544" s="9"/>
      <c r="D544" s="3"/>
      <c r="E544" s="3"/>
      <c r="F544" s="3"/>
      <c r="G544" s="53"/>
      <c r="H544" s="53"/>
      <c r="I544" s="53"/>
      <c r="J544" s="54"/>
      <c r="K544" s="53"/>
      <c r="L544" s="53"/>
      <c r="M544" s="53"/>
      <c r="N544" s="53"/>
      <c r="O544" s="53"/>
      <c r="P544" s="54"/>
      <c r="Q544" s="53"/>
      <c r="R544" s="53"/>
    </row>
    <row r="545" spans="1:18">
      <c r="A545" s="53"/>
      <c r="B545" s="3"/>
      <c r="C545" s="9"/>
      <c r="D545" s="3"/>
      <c r="E545" s="3"/>
      <c r="F545" s="3"/>
      <c r="G545" s="53"/>
      <c r="H545" s="53"/>
      <c r="I545" s="53"/>
      <c r="J545" s="54"/>
      <c r="K545" s="53"/>
      <c r="L545" s="53"/>
      <c r="M545" s="53"/>
      <c r="N545" s="53"/>
      <c r="O545" s="53"/>
      <c r="P545" s="54"/>
      <c r="Q545" s="53"/>
      <c r="R545" s="53"/>
    </row>
    <row r="546" spans="1:18">
      <c r="A546" s="53"/>
      <c r="B546" s="3"/>
      <c r="C546" s="9"/>
      <c r="D546" s="3"/>
      <c r="E546" s="3"/>
      <c r="F546" s="3"/>
      <c r="G546" s="53"/>
      <c r="H546" s="53"/>
      <c r="I546" s="53"/>
      <c r="J546" s="54"/>
      <c r="K546" s="53"/>
      <c r="L546" s="53"/>
      <c r="M546" s="53"/>
      <c r="N546" s="53"/>
      <c r="O546" s="53"/>
      <c r="P546" s="54"/>
      <c r="Q546" s="53"/>
      <c r="R546" s="53"/>
    </row>
    <row r="547" spans="1:18">
      <c r="A547" s="53"/>
      <c r="B547" s="3"/>
      <c r="C547" s="9"/>
      <c r="D547" s="3"/>
      <c r="E547" s="3"/>
      <c r="F547" s="3"/>
      <c r="G547" s="53"/>
      <c r="H547" s="53"/>
      <c r="I547" s="53"/>
      <c r="J547" s="54"/>
      <c r="K547" s="53"/>
      <c r="L547" s="53"/>
      <c r="M547" s="53"/>
      <c r="N547" s="53"/>
      <c r="O547" s="53"/>
      <c r="P547" s="54"/>
      <c r="Q547" s="53"/>
      <c r="R547" s="53"/>
    </row>
    <row r="548" spans="1:18">
      <c r="A548" s="53"/>
      <c r="B548" s="3"/>
      <c r="C548" s="9"/>
      <c r="D548" s="3"/>
      <c r="E548" s="3"/>
      <c r="F548" s="3"/>
      <c r="G548" s="53"/>
      <c r="H548" s="53"/>
      <c r="I548" s="53"/>
      <c r="J548" s="54"/>
      <c r="K548" s="53"/>
      <c r="L548" s="53"/>
      <c r="M548" s="53"/>
      <c r="N548" s="53"/>
      <c r="O548" s="53"/>
      <c r="P548" s="54"/>
      <c r="Q548" s="53"/>
      <c r="R548" s="53"/>
    </row>
    <row r="549" spans="1:18">
      <c r="A549" s="53"/>
      <c r="B549" s="3"/>
      <c r="C549" s="9"/>
      <c r="D549" s="3"/>
      <c r="E549" s="3"/>
      <c r="F549" s="3"/>
      <c r="G549" s="53"/>
      <c r="H549" s="53"/>
      <c r="I549" s="53"/>
      <c r="J549" s="54"/>
      <c r="K549" s="53"/>
      <c r="L549" s="53"/>
      <c r="M549" s="53"/>
      <c r="N549" s="53"/>
      <c r="O549" s="53"/>
      <c r="P549" s="54"/>
      <c r="Q549" s="53"/>
      <c r="R549" s="53"/>
    </row>
    <row r="550" spans="1:18">
      <c r="A550" s="53"/>
      <c r="B550" s="3"/>
      <c r="C550" s="9"/>
      <c r="D550" s="3"/>
      <c r="E550" s="3"/>
      <c r="F550" s="3"/>
      <c r="G550" s="53"/>
      <c r="H550" s="53"/>
      <c r="I550" s="53"/>
      <c r="J550" s="54"/>
      <c r="K550" s="53"/>
      <c r="L550" s="53"/>
      <c r="M550" s="53"/>
      <c r="N550" s="53"/>
      <c r="O550" s="53"/>
      <c r="P550" s="54"/>
      <c r="Q550" s="53"/>
      <c r="R550" s="53"/>
    </row>
    <row r="551" spans="1:18">
      <c r="A551" s="53"/>
      <c r="B551" s="3"/>
      <c r="C551" s="9"/>
      <c r="D551" s="3"/>
      <c r="E551" s="3"/>
      <c r="F551" s="3"/>
      <c r="G551" s="53"/>
      <c r="H551" s="53"/>
      <c r="I551" s="53"/>
      <c r="J551" s="54"/>
      <c r="K551" s="53"/>
      <c r="L551" s="53"/>
      <c r="M551" s="53"/>
      <c r="N551" s="53"/>
      <c r="O551" s="53"/>
      <c r="P551" s="54"/>
      <c r="Q551" s="53"/>
      <c r="R551" s="53"/>
    </row>
    <row r="552" spans="1:18">
      <c r="A552" s="53"/>
      <c r="B552" s="3"/>
      <c r="C552" s="9"/>
      <c r="D552" s="3"/>
      <c r="E552" s="3"/>
      <c r="F552" s="3"/>
      <c r="G552" s="53"/>
      <c r="H552" s="53"/>
      <c r="I552" s="53"/>
      <c r="J552" s="54"/>
      <c r="K552" s="53"/>
      <c r="L552" s="53"/>
      <c r="M552" s="53"/>
      <c r="N552" s="53"/>
      <c r="O552" s="53"/>
      <c r="P552" s="54"/>
      <c r="Q552" s="53"/>
      <c r="R552" s="53"/>
    </row>
    <row r="553" spans="1:18">
      <c r="A553" s="53"/>
      <c r="B553" s="3"/>
      <c r="C553" s="9"/>
      <c r="D553" s="3"/>
      <c r="E553" s="3"/>
      <c r="F553" s="3"/>
      <c r="G553" s="53"/>
      <c r="H553" s="53"/>
      <c r="I553" s="53"/>
      <c r="J553" s="54"/>
      <c r="K553" s="53"/>
      <c r="L553" s="53"/>
      <c r="M553" s="53"/>
      <c r="N553" s="53"/>
      <c r="O553" s="53"/>
      <c r="P553" s="54"/>
      <c r="Q553" s="53"/>
      <c r="R553" s="53"/>
    </row>
    <row r="554" spans="1:18">
      <c r="A554" s="53"/>
      <c r="B554" s="3"/>
      <c r="C554" s="9"/>
      <c r="D554" s="3"/>
      <c r="E554" s="3"/>
      <c r="F554" s="3"/>
      <c r="G554" s="53"/>
      <c r="H554" s="53"/>
      <c r="I554" s="53"/>
      <c r="J554" s="54"/>
      <c r="K554" s="53"/>
      <c r="L554" s="53"/>
      <c r="M554" s="53"/>
      <c r="N554" s="53"/>
      <c r="O554" s="53"/>
      <c r="P554" s="54"/>
      <c r="Q554" s="53"/>
      <c r="R554" s="53"/>
    </row>
    <row r="555" spans="1:18">
      <c r="A555" s="53"/>
      <c r="B555" s="3"/>
      <c r="C555" s="9"/>
      <c r="D555" s="3"/>
      <c r="E555" s="3"/>
      <c r="F555" s="3"/>
      <c r="G555" s="53"/>
      <c r="H555" s="53"/>
      <c r="I555" s="53"/>
      <c r="J555" s="54"/>
      <c r="K555" s="53"/>
      <c r="L555" s="53"/>
      <c r="M555" s="53"/>
      <c r="N555" s="53"/>
      <c r="O555" s="53"/>
      <c r="P555" s="54"/>
      <c r="Q555" s="53"/>
      <c r="R555" s="53"/>
    </row>
    <row r="556" spans="1:18">
      <c r="A556" s="53"/>
      <c r="B556" s="3"/>
      <c r="C556" s="9"/>
      <c r="D556" s="3"/>
      <c r="E556" s="3"/>
      <c r="F556" s="3"/>
      <c r="G556" s="53"/>
      <c r="H556" s="53"/>
      <c r="I556" s="53"/>
      <c r="J556" s="54"/>
      <c r="K556" s="53"/>
      <c r="L556" s="53"/>
      <c r="M556" s="53"/>
      <c r="N556" s="53"/>
      <c r="O556" s="53"/>
      <c r="P556" s="54"/>
      <c r="Q556" s="53"/>
      <c r="R556" s="53"/>
    </row>
    <row r="557" spans="1:18">
      <c r="A557" s="53"/>
      <c r="B557" s="3"/>
      <c r="C557" s="9"/>
      <c r="D557" s="3"/>
      <c r="E557" s="3"/>
      <c r="F557" s="3"/>
      <c r="G557" s="53"/>
      <c r="H557" s="53"/>
      <c r="I557" s="53"/>
      <c r="J557" s="54"/>
      <c r="K557" s="53"/>
      <c r="L557" s="53"/>
      <c r="M557" s="53"/>
      <c r="N557" s="53"/>
      <c r="O557" s="53"/>
      <c r="P557" s="54"/>
      <c r="Q557" s="53"/>
      <c r="R557" s="53"/>
    </row>
    <row r="558" spans="1:18">
      <c r="A558" s="53"/>
      <c r="B558" s="3"/>
      <c r="C558" s="9"/>
      <c r="D558" s="3"/>
      <c r="E558" s="3"/>
      <c r="F558" s="3"/>
      <c r="G558" s="53"/>
      <c r="H558" s="53"/>
      <c r="I558" s="53"/>
      <c r="J558" s="54"/>
      <c r="K558" s="53"/>
      <c r="L558" s="53"/>
      <c r="M558" s="53"/>
      <c r="N558" s="53"/>
      <c r="O558" s="53"/>
      <c r="P558" s="54"/>
      <c r="Q558" s="53"/>
      <c r="R558" s="53"/>
    </row>
    <row r="559" spans="1:18">
      <c r="A559" s="53"/>
      <c r="B559" s="3"/>
      <c r="C559" s="9"/>
      <c r="D559" s="3"/>
      <c r="E559" s="3"/>
      <c r="F559" s="3"/>
      <c r="G559" s="53"/>
      <c r="H559" s="53"/>
      <c r="I559" s="53"/>
      <c r="J559" s="54"/>
      <c r="K559" s="53"/>
      <c r="L559" s="53"/>
      <c r="M559" s="53"/>
      <c r="N559" s="53"/>
      <c r="O559" s="53"/>
      <c r="P559" s="54"/>
      <c r="Q559" s="53"/>
      <c r="R559" s="53"/>
    </row>
    <row r="560" spans="1:18">
      <c r="A560" s="53"/>
      <c r="B560" s="3"/>
      <c r="C560" s="9"/>
      <c r="D560" s="3"/>
      <c r="E560" s="3"/>
      <c r="F560" s="3"/>
      <c r="G560" s="53"/>
      <c r="H560" s="53"/>
      <c r="I560" s="53"/>
      <c r="J560" s="54"/>
      <c r="K560" s="53"/>
      <c r="L560" s="53"/>
      <c r="M560" s="53"/>
      <c r="N560" s="53"/>
      <c r="O560" s="53"/>
      <c r="P560" s="54"/>
      <c r="Q560" s="53"/>
      <c r="R560" s="53"/>
    </row>
    <row r="561" spans="1:18">
      <c r="A561" s="53"/>
      <c r="B561" s="3"/>
      <c r="C561" s="9"/>
      <c r="D561" s="3"/>
      <c r="E561" s="3"/>
      <c r="F561" s="3"/>
      <c r="G561" s="53"/>
      <c r="H561" s="53"/>
      <c r="I561" s="53"/>
      <c r="J561" s="54"/>
      <c r="K561" s="53"/>
      <c r="L561" s="53"/>
      <c r="M561" s="53"/>
      <c r="N561" s="53"/>
      <c r="O561" s="53"/>
      <c r="P561" s="54"/>
      <c r="Q561" s="53"/>
      <c r="R561" s="53"/>
    </row>
    <row r="562" spans="1:18">
      <c r="A562" s="53"/>
      <c r="B562" s="3"/>
      <c r="C562" s="9"/>
      <c r="D562" s="3"/>
      <c r="E562" s="3"/>
      <c r="F562" s="3"/>
      <c r="G562" s="53"/>
      <c r="H562" s="53"/>
      <c r="I562" s="53"/>
      <c r="J562" s="54"/>
      <c r="K562" s="53"/>
      <c r="L562" s="53"/>
      <c r="M562" s="53"/>
      <c r="N562" s="53"/>
      <c r="O562" s="53"/>
      <c r="P562" s="54"/>
      <c r="Q562" s="53"/>
      <c r="R562" s="53"/>
    </row>
    <row r="563" spans="1:18">
      <c r="A563" s="53"/>
      <c r="B563" s="3"/>
      <c r="C563" s="9"/>
      <c r="D563" s="3"/>
      <c r="E563" s="3"/>
      <c r="F563" s="3"/>
      <c r="G563" s="53"/>
      <c r="H563" s="53"/>
      <c r="I563" s="53"/>
      <c r="J563" s="54"/>
      <c r="K563" s="53"/>
      <c r="L563" s="53"/>
      <c r="M563" s="53"/>
      <c r="N563" s="53"/>
      <c r="O563" s="53"/>
      <c r="P563" s="54"/>
      <c r="Q563" s="53"/>
      <c r="R563" s="53"/>
    </row>
    <row r="564" spans="1:18">
      <c r="A564" s="53"/>
      <c r="B564" s="3"/>
      <c r="C564" s="9"/>
      <c r="D564" s="3"/>
      <c r="E564" s="3"/>
      <c r="F564" s="3"/>
      <c r="G564" s="53"/>
      <c r="H564" s="53"/>
      <c r="I564" s="53"/>
      <c r="J564" s="54"/>
      <c r="K564" s="53"/>
      <c r="L564" s="53"/>
      <c r="M564" s="53"/>
      <c r="N564" s="53"/>
      <c r="O564" s="53"/>
      <c r="P564" s="54"/>
      <c r="Q564" s="53"/>
      <c r="R564" s="53"/>
    </row>
    <row r="565" spans="1:18">
      <c r="A565" s="53"/>
      <c r="B565" s="3"/>
      <c r="C565" s="9"/>
      <c r="D565" s="3"/>
      <c r="E565" s="3"/>
      <c r="F565" s="3"/>
      <c r="G565" s="53"/>
      <c r="H565" s="53"/>
      <c r="I565" s="53"/>
      <c r="J565" s="54"/>
      <c r="K565" s="53"/>
      <c r="L565" s="53"/>
      <c r="M565" s="53"/>
      <c r="N565" s="53"/>
      <c r="O565" s="53"/>
      <c r="P565" s="54"/>
      <c r="Q565" s="53"/>
      <c r="R565" s="53"/>
    </row>
    <row r="566" spans="1:18">
      <c r="A566" s="53"/>
      <c r="B566" s="3"/>
      <c r="C566" s="9"/>
      <c r="D566" s="3"/>
      <c r="E566" s="3"/>
      <c r="F566" s="3"/>
      <c r="G566" s="53"/>
      <c r="H566" s="53"/>
      <c r="I566" s="53"/>
      <c r="J566" s="54"/>
      <c r="K566" s="53"/>
      <c r="L566" s="53"/>
      <c r="M566" s="53"/>
      <c r="N566" s="53"/>
      <c r="O566" s="53"/>
      <c r="P566" s="54"/>
      <c r="Q566" s="53"/>
      <c r="R566" s="53"/>
    </row>
    <row r="567" spans="1:18">
      <c r="A567" s="53"/>
      <c r="B567" s="3"/>
      <c r="C567" s="9"/>
      <c r="D567" s="3"/>
      <c r="E567" s="3"/>
      <c r="F567" s="3"/>
      <c r="G567" s="53"/>
      <c r="H567" s="53"/>
      <c r="I567" s="53"/>
      <c r="J567" s="54"/>
      <c r="K567" s="53"/>
      <c r="L567" s="53"/>
      <c r="M567" s="53"/>
      <c r="N567" s="53"/>
      <c r="O567" s="53"/>
      <c r="P567" s="54"/>
      <c r="Q567" s="53"/>
      <c r="R567" s="53"/>
    </row>
    <row r="568" spans="1:18">
      <c r="A568" s="53"/>
      <c r="B568" s="3"/>
      <c r="C568" s="9"/>
      <c r="D568" s="3"/>
      <c r="E568" s="3"/>
      <c r="F568" s="3"/>
      <c r="G568" s="53"/>
      <c r="H568" s="53"/>
      <c r="I568" s="53"/>
      <c r="J568" s="54"/>
      <c r="K568" s="53"/>
      <c r="L568" s="53"/>
      <c r="M568" s="53"/>
      <c r="N568" s="53"/>
      <c r="O568" s="53"/>
      <c r="P568" s="54"/>
      <c r="Q568" s="53"/>
      <c r="R568" s="53"/>
    </row>
    <row r="569" spans="1:18">
      <c r="A569" s="53"/>
      <c r="B569" s="3"/>
      <c r="C569" s="9"/>
      <c r="D569" s="3"/>
      <c r="E569" s="3"/>
      <c r="F569" s="3"/>
      <c r="G569" s="53"/>
      <c r="H569" s="53"/>
      <c r="I569" s="53"/>
      <c r="J569" s="54"/>
      <c r="K569" s="53"/>
      <c r="L569" s="53"/>
      <c r="M569" s="53"/>
      <c r="N569" s="53"/>
      <c r="O569" s="53"/>
      <c r="P569" s="54"/>
      <c r="Q569" s="53"/>
      <c r="R569" s="53"/>
    </row>
    <row r="570" spans="1:18">
      <c r="A570" s="53"/>
      <c r="B570" s="3"/>
      <c r="C570" s="9"/>
      <c r="D570" s="3"/>
      <c r="E570" s="3"/>
      <c r="F570" s="3"/>
      <c r="G570" s="53"/>
      <c r="H570" s="53"/>
      <c r="I570" s="53"/>
      <c r="J570" s="54"/>
      <c r="K570" s="53"/>
      <c r="L570" s="53"/>
      <c r="M570" s="53"/>
      <c r="N570" s="53"/>
      <c r="O570" s="53"/>
      <c r="P570" s="54"/>
      <c r="Q570" s="53"/>
      <c r="R570" s="53"/>
    </row>
    <row r="571" spans="1:18">
      <c r="A571" s="53"/>
      <c r="B571" s="3"/>
      <c r="C571" s="9"/>
      <c r="D571" s="3"/>
      <c r="E571" s="3"/>
      <c r="F571" s="3"/>
      <c r="G571" s="53"/>
      <c r="H571" s="53"/>
      <c r="I571" s="53"/>
      <c r="J571" s="54"/>
      <c r="K571" s="53"/>
      <c r="L571" s="53"/>
      <c r="M571" s="53"/>
      <c r="N571" s="53"/>
      <c r="O571" s="53"/>
      <c r="P571" s="54"/>
      <c r="Q571" s="53"/>
      <c r="R571" s="53"/>
    </row>
    <row r="572" spans="1:18">
      <c r="A572" s="53"/>
      <c r="B572" s="3"/>
      <c r="C572" s="9"/>
      <c r="D572" s="3"/>
      <c r="E572" s="3"/>
      <c r="F572" s="3"/>
      <c r="G572" s="53"/>
      <c r="H572" s="53"/>
      <c r="I572" s="53"/>
      <c r="J572" s="54"/>
      <c r="K572" s="53"/>
      <c r="L572" s="53"/>
      <c r="M572" s="53"/>
      <c r="N572" s="53"/>
      <c r="O572" s="53"/>
      <c r="P572" s="54"/>
      <c r="Q572" s="53"/>
      <c r="R572" s="53"/>
    </row>
    <row r="573" spans="1:18">
      <c r="A573" s="53"/>
      <c r="B573" s="3"/>
      <c r="C573" s="9"/>
      <c r="D573" s="3"/>
      <c r="E573" s="3"/>
      <c r="F573" s="3"/>
      <c r="G573" s="53"/>
      <c r="H573" s="53"/>
      <c r="I573" s="53"/>
      <c r="J573" s="54"/>
      <c r="K573" s="53"/>
      <c r="L573" s="53"/>
      <c r="M573" s="53"/>
      <c r="N573" s="53"/>
      <c r="O573" s="53"/>
      <c r="P573" s="54"/>
      <c r="Q573" s="53"/>
      <c r="R573" s="53"/>
    </row>
    <row r="574" spans="1:18">
      <c r="A574" s="53"/>
      <c r="B574" s="3"/>
      <c r="C574" s="9"/>
      <c r="D574" s="3"/>
      <c r="E574" s="3"/>
      <c r="F574" s="3"/>
      <c r="G574" s="53"/>
      <c r="H574" s="53"/>
      <c r="I574" s="53"/>
      <c r="J574" s="54"/>
      <c r="K574" s="53"/>
      <c r="L574" s="53"/>
      <c r="M574" s="53"/>
      <c r="N574" s="53"/>
      <c r="O574" s="53"/>
      <c r="P574" s="54"/>
      <c r="Q574" s="53"/>
      <c r="R574" s="53"/>
    </row>
    <row r="575" spans="1:18">
      <c r="A575" s="53"/>
      <c r="B575" s="3"/>
      <c r="C575" s="9"/>
      <c r="D575" s="3"/>
      <c r="E575" s="3"/>
      <c r="F575" s="3"/>
      <c r="G575" s="53"/>
      <c r="H575" s="53"/>
      <c r="I575" s="53"/>
      <c r="J575" s="54"/>
      <c r="K575" s="53"/>
      <c r="L575" s="53"/>
      <c r="M575" s="53"/>
      <c r="N575" s="53"/>
      <c r="O575" s="53"/>
      <c r="P575" s="54"/>
      <c r="Q575" s="53"/>
      <c r="R575" s="53"/>
    </row>
    <row r="576" spans="1:18">
      <c r="A576" s="53"/>
      <c r="B576" s="3"/>
      <c r="C576" s="9"/>
      <c r="D576" s="3"/>
      <c r="E576" s="3"/>
      <c r="F576" s="3"/>
      <c r="G576" s="53"/>
      <c r="H576" s="53"/>
      <c r="I576" s="53"/>
      <c r="J576" s="54"/>
      <c r="K576" s="53"/>
      <c r="L576" s="53"/>
      <c r="M576" s="53"/>
      <c r="N576" s="53"/>
      <c r="O576" s="53"/>
      <c r="P576" s="54"/>
      <c r="Q576" s="53"/>
      <c r="R576" s="53"/>
    </row>
    <row r="577" spans="1:18">
      <c r="A577" s="53"/>
      <c r="B577" s="3"/>
      <c r="C577" s="9"/>
      <c r="D577" s="3"/>
      <c r="E577" s="3"/>
      <c r="F577" s="3"/>
      <c r="G577" s="53"/>
      <c r="H577" s="53"/>
      <c r="I577" s="53"/>
      <c r="J577" s="54"/>
      <c r="K577" s="53"/>
      <c r="L577" s="53"/>
      <c r="M577" s="53"/>
      <c r="N577" s="53"/>
      <c r="O577" s="53"/>
      <c r="P577" s="54"/>
      <c r="Q577" s="53"/>
      <c r="R577" s="53"/>
    </row>
    <row r="578" spans="1:18">
      <c r="A578" s="53"/>
      <c r="B578" s="3"/>
      <c r="C578" s="9"/>
      <c r="D578" s="3"/>
      <c r="E578" s="3"/>
      <c r="F578" s="3"/>
      <c r="G578" s="53"/>
      <c r="H578" s="53"/>
      <c r="I578" s="53"/>
      <c r="J578" s="54"/>
      <c r="K578" s="53"/>
      <c r="L578" s="53"/>
      <c r="M578" s="53"/>
      <c r="N578" s="53"/>
      <c r="O578" s="53"/>
      <c r="P578" s="54"/>
      <c r="Q578" s="53"/>
      <c r="R578" s="53"/>
    </row>
    <row r="579" spans="1:18">
      <c r="A579" s="53"/>
      <c r="B579" s="3"/>
      <c r="C579" s="9"/>
      <c r="D579" s="3"/>
      <c r="E579" s="3"/>
      <c r="F579" s="3"/>
      <c r="G579" s="53"/>
      <c r="H579" s="53"/>
      <c r="I579" s="53"/>
      <c r="J579" s="54"/>
      <c r="K579" s="53"/>
      <c r="L579" s="53"/>
      <c r="M579" s="53"/>
      <c r="N579" s="53"/>
      <c r="O579" s="53"/>
      <c r="P579" s="54"/>
      <c r="Q579" s="53"/>
      <c r="R579" s="53"/>
    </row>
    <row r="580" spans="1:18">
      <c r="A580" s="53"/>
      <c r="B580" s="3"/>
      <c r="C580" s="9"/>
      <c r="D580" s="3"/>
      <c r="E580" s="3"/>
      <c r="F580" s="3"/>
      <c r="G580" s="53"/>
      <c r="H580" s="53"/>
      <c r="I580" s="53"/>
      <c r="J580" s="54"/>
      <c r="K580" s="53"/>
      <c r="L580" s="53"/>
      <c r="M580" s="53"/>
      <c r="N580" s="53"/>
      <c r="O580" s="53"/>
      <c r="P580" s="54"/>
      <c r="Q580" s="53"/>
      <c r="R580" s="53"/>
    </row>
    <row r="581" spans="1:18">
      <c r="A581" s="53"/>
      <c r="B581" s="3"/>
      <c r="C581" s="9"/>
      <c r="D581" s="3"/>
      <c r="E581" s="3"/>
      <c r="F581" s="3"/>
      <c r="G581" s="53"/>
      <c r="H581" s="53"/>
      <c r="I581" s="53"/>
      <c r="J581" s="54"/>
      <c r="K581" s="53"/>
      <c r="L581" s="53"/>
      <c r="M581" s="53"/>
      <c r="N581" s="53"/>
      <c r="O581" s="53"/>
      <c r="P581" s="54"/>
      <c r="Q581" s="53"/>
      <c r="R581" s="53"/>
    </row>
    <row r="582" spans="1:18">
      <c r="A582" s="53"/>
      <c r="B582" s="3"/>
      <c r="C582" s="9"/>
      <c r="D582" s="3"/>
      <c r="E582" s="3"/>
      <c r="F582" s="3"/>
      <c r="G582" s="53"/>
      <c r="H582" s="53"/>
      <c r="I582" s="53"/>
      <c r="J582" s="54"/>
      <c r="K582" s="53"/>
      <c r="L582" s="53"/>
      <c r="M582" s="53"/>
      <c r="N582" s="53"/>
      <c r="O582" s="53"/>
      <c r="P582" s="54"/>
      <c r="Q582" s="53"/>
      <c r="R582" s="53"/>
    </row>
    <row r="583" spans="1:18">
      <c r="A583" s="53"/>
      <c r="B583" s="3"/>
      <c r="C583" s="9"/>
      <c r="D583" s="3"/>
      <c r="E583" s="3"/>
      <c r="F583" s="3"/>
      <c r="G583" s="53"/>
      <c r="H583" s="53"/>
      <c r="I583" s="53"/>
      <c r="J583" s="54"/>
      <c r="K583" s="53"/>
      <c r="L583" s="53"/>
      <c r="M583" s="53"/>
      <c r="N583" s="53"/>
      <c r="O583" s="53"/>
      <c r="P583" s="54"/>
      <c r="Q583" s="53"/>
      <c r="R583" s="53"/>
    </row>
    <row r="584" spans="1:18">
      <c r="A584" s="53"/>
      <c r="B584" s="3"/>
      <c r="C584" s="9"/>
      <c r="D584" s="3"/>
      <c r="E584" s="3"/>
      <c r="F584" s="3"/>
      <c r="G584" s="53"/>
      <c r="H584" s="53"/>
      <c r="I584" s="53"/>
      <c r="J584" s="54"/>
      <c r="K584" s="53"/>
      <c r="L584" s="53"/>
      <c r="M584" s="53"/>
      <c r="N584" s="53"/>
      <c r="O584" s="53"/>
      <c r="P584" s="54"/>
      <c r="Q584" s="53"/>
      <c r="R584" s="53"/>
    </row>
    <row r="585" spans="1:18">
      <c r="A585" s="53"/>
      <c r="B585" s="3"/>
      <c r="C585" s="9"/>
      <c r="D585" s="3"/>
      <c r="E585" s="3"/>
      <c r="F585" s="3"/>
      <c r="G585" s="53"/>
      <c r="H585" s="53"/>
      <c r="I585" s="53"/>
      <c r="J585" s="54"/>
      <c r="K585" s="53"/>
      <c r="L585" s="53"/>
      <c r="M585" s="53"/>
      <c r="N585" s="53"/>
      <c r="O585" s="53"/>
      <c r="P585" s="54"/>
      <c r="Q585" s="53"/>
      <c r="R585" s="53"/>
    </row>
    <row r="586" spans="1:18">
      <c r="A586" s="53"/>
      <c r="B586" s="3"/>
      <c r="C586" s="9"/>
      <c r="D586" s="3"/>
      <c r="E586" s="3"/>
      <c r="F586" s="3"/>
      <c r="G586" s="53"/>
      <c r="H586" s="53"/>
      <c r="I586" s="53"/>
      <c r="J586" s="54"/>
      <c r="K586" s="53"/>
      <c r="L586" s="53"/>
      <c r="M586" s="53"/>
      <c r="N586" s="53"/>
      <c r="O586" s="53"/>
      <c r="P586" s="54"/>
      <c r="Q586" s="53"/>
      <c r="R586" s="53"/>
    </row>
    <row r="587" spans="1:18">
      <c r="A587" s="53"/>
      <c r="B587" s="3"/>
      <c r="C587" s="9"/>
      <c r="D587" s="3"/>
      <c r="E587" s="3"/>
      <c r="F587" s="3"/>
      <c r="G587" s="53"/>
      <c r="H587" s="53"/>
      <c r="I587" s="53"/>
      <c r="J587" s="54"/>
      <c r="K587" s="53"/>
      <c r="L587" s="53"/>
      <c r="M587" s="53"/>
      <c r="N587" s="53"/>
      <c r="O587" s="53"/>
      <c r="P587" s="54"/>
      <c r="Q587" s="53"/>
      <c r="R587" s="53"/>
    </row>
    <row r="588" spans="1:18">
      <c r="A588" s="53"/>
      <c r="B588" s="3"/>
      <c r="C588" s="9"/>
      <c r="D588" s="3"/>
      <c r="E588" s="3"/>
      <c r="F588" s="3"/>
      <c r="G588" s="53"/>
      <c r="H588" s="53"/>
      <c r="I588" s="53"/>
      <c r="J588" s="54"/>
      <c r="K588" s="53"/>
      <c r="L588" s="53"/>
      <c r="M588" s="53"/>
      <c r="N588" s="53"/>
      <c r="O588" s="53"/>
      <c r="P588" s="54"/>
      <c r="Q588" s="53"/>
      <c r="R588" s="53"/>
    </row>
    <row r="589" spans="1:18">
      <c r="A589" s="53"/>
      <c r="B589" s="3"/>
      <c r="C589" s="9"/>
      <c r="D589" s="3"/>
      <c r="E589" s="3"/>
      <c r="F589" s="3"/>
      <c r="G589" s="53"/>
      <c r="H589" s="53"/>
      <c r="I589" s="53"/>
      <c r="J589" s="54"/>
      <c r="K589" s="53"/>
      <c r="L589" s="53"/>
      <c r="M589" s="53"/>
      <c r="N589" s="53"/>
      <c r="O589" s="53"/>
      <c r="P589" s="54"/>
      <c r="Q589" s="53"/>
      <c r="R589" s="53"/>
    </row>
    <row r="590" spans="1:18">
      <c r="A590" s="53"/>
      <c r="B590" s="3"/>
      <c r="C590" s="9"/>
      <c r="D590" s="3"/>
      <c r="E590" s="3"/>
      <c r="F590" s="3"/>
      <c r="G590" s="53"/>
      <c r="H590" s="53"/>
      <c r="I590" s="53"/>
      <c r="J590" s="54"/>
      <c r="K590" s="53"/>
      <c r="L590" s="53"/>
      <c r="M590" s="53"/>
      <c r="N590" s="53"/>
      <c r="O590" s="53"/>
      <c r="P590" s="54"/>
      <c r="Q590" s="53"/>
      <c r="R590" s="53"/>
    </row>
    <row r="591" spans="1:18">
      <c r="A591" s="53"/>
      <c r="B591" s="3"/>
      <c r="C591" s="9"/>
      <c r="D591" s="3"/>
      <c r="E591" s="3"/>
      <c r="F591" s="3"/>
      <c r="G591" s="53"/>
      <c r="H591" s="53"/>
      <c r="I591" s="53"/>
      <c r="J591" s="54"/>
      <c r="K591" s="53"/>
      <c r="L591" s="53"/>
      <c r="M591" s="53"/>
      <c r="N591" s="53"/>
      <c r="O591" s="53"/>
      <c r="P591" s="54"/>
      <c r="Q591" s="53"/>
      <c r="R591" s="53"/>
    </row>
    <row r="592" spans="1:18">
      <c r="A592" s="53"/>
      <c r="B592" s="3"/>
      <c r="C592" s="9"/>
      <c r="D592" s="3"/>
      <c r="E592" s="3"/>
      <c r="F592" s="3"/>
      <c r="G592" s="53"/>
      <c r="H592" s="53"/>
      <c r="I592" s="53"/>
      <c r="J592" s="54"/>
      <c r="K592" s="53"/>
      <c r="L592" s="53"/>
      <c r="M592" s="53"/>
      <c r="N592" s="53"/>
      <c r="O592" s="53"/>
      <c r="P592" s="54"/>
      <c r="Q592" s="53"/>
      <c r="R592" s="53"/>
    </row>
    <row r="593" spans="1:18">
      <c r="A593" s="53"/>
      <c r="B593" s="3"/>
      <c r="C593" s="9"/>
      <c r="D593" s="3"/>
      <c r="E593" s="3"/>
      <c r="F593" s="3"/>
      <c r="G593" s="53"/>
      <c r="H593" s="53"/>
      <c r="I593" s="53"/>
      <c r="J593" s="54"/>
      <c r="K593" s="53"/>
      <c r="L593" s="53"/>
      <c r="M593" s="53"/>
      <c r="N593" s="53"/>
      <c r="O593" s="53"/>
      <c r="P593" s="54"/>
      <c r="Q593" s="53"/>
      <c r="R593" s="53"/>
    </row>
    <row r="594" spans="1:18">
      <c r="A594" s="53"/>
      <c r="B594" s="3"/>
      <c r="C594" s="9"/>
      <c r="D594" s="3"/>
      <c r="E594" s="3"/>
      <c r="F594" s="3"/>
      <c r="G594" s="53"/>
      <c r="H594" s="53"/>
      <c r="I594" s="53"/>
      <c r="J594" s="54"/>
      <c r="K594" s="53"/>
      <c r="L594" s="53"/>
      <c r="M594" s="53"/>
      <c r="N594" s="53"/>
      <c r="O594" s="53"/>
      <c r="P594" s="54"/>
      <c r="Q594" s="53"/>
      <c r="R594" s="53"/>
    </row>
    <row r="595" spans="1:18">
      <c r="A595" s="53"/>
      <c r="B595" s="3"/>
      <c r="C595" s="9"/>
      <c r="D595" s="3"/>
      <c r="E595" s="3"/>
      <c r="F595" s="3"/>
      <c r="G595" s="53"/>
      <c r="H595" s="53"/>
      <c r="I595" s="53"/>
      <c r="J595" s="54"/>
      <c r="K595" s="53"/>
      <c r="L595" s="53"/>
      <c r="M595" s="53"/>
      <c r="N595" s="53"/>
      <c r="O595" s="53"/>
      <c r="P595" s="54"/>
      <c r="Q595" s="53"/>
      <c r="R595" s="53"/>
    </row>
    <row r="596" spans="1:18">
      <c r="A596" s="53"/>
      <c r="B596" s="3"/>
      <c r="C596" s="9"/>
      <c r="D596" s="3"/>
      <c r="E596" s="3"/>
      <c r="F596" s="3"/>
      <c r="G596" s="53"/>
      <c r="H596" s="53"/>
      <c r="I596" s="53"/>
      <c r="J596" s="54"/>
      <c r="K596" s="53"/>
      <c r="L596" s="53"/>
      <c r="M596" s="53"/>
      <c r="N596" s="53"/>
      <c r="O596" s="53"/>
      <c r="P596" s="54"/>
      <c r="Q596" s="53"/>
      <c r="R596" s="53"/>
    </row>
    <row r="597" spans="1:18">
      <c r="A597" s="53"/>
      <c r="B597" s="3"/>
      <c r="C597" s="9"/>
      <c r="D597" s="3"/>
      <c r="E597" s="3"/>
      <c r="F597" s="3"/>
      <c r="G597" s="53"/>
      <c r="H597" s="53"/>
      <c r="I597" s="53"/>
      <c r="J597" s="54"/>
      <c r="K597" s="53"/>
      <c r="L597" s="53"/>
      <c r="M597" s="53"/>
      <c r="N597" s="53"/>
      <c r="O597" s="53"/>
      <c r="P597" s="54"/>
      <c r="Q597" s="53"/>
      <c r="R597" s="53"/>
    </row>
    <row r="598" spans="1:18">
      <c r="A598" s="53"/>
      <c r="B598" s="3"/>
      <c r="C598" s="9"/>
      <c r="D598" s="3"/>
      <c r="E598" s="3"/>
      <c r="F598" s="3"/>
      <c r="G598" s="53"/>
      <c r="H598" s="53"/>
      <c r="I598" s="53"/>
      <c r="J598" s="54"/>
      <c r="K598" s="53"/>
      <c r="L598" s="53"/>
      <c r="M598" s="53"/>
      <c r="N598" s="53"/>
      <c r="O598" s="53"/>
      <c r="P598" s="54"/>
      <c r="Q598" s="53"/>
      <c r="R598" s="53"/>
    </row>
    <row r="599" spans="1:18">
      <c r="A599" s="53"/>
      <c r="B599" s="3"/>
      <c r="C599" s="9"/>
      <c r="D599" s="3"/>
      <c r="E599" s="3"/>
      <c r="F599" s="3"/>
      <c r="G599" s="53"/>
      <c r="H599" s="53"/>
      <c r="I599" s="53"/>
      <c r="J599" s="54"/>
      <c r="K599" s="53"/>
      <c r="L599" s="53"/>
      <c r="M599" s="53"/>
      <c r="N599" s="53"/>
      <c r="O599" s="53"/>
      <c r="P599" s="54"/>
      <c r="Q599" s="53"/>
      <c r="R599" s="53"/>
    </row>
    <row r="600" spans="1:18">
      <c r="A600" s="53"/>
      <c r="B600" s="3"/>
      <c r="C600" s="9"/>
      <c r="D600" s="3"/>
      <c r="E600" s="3"/>
      <c r="F600" s="3"/>
      <c r="G600" s="53"/>
      <c r="H600" s="53"/>
      <c r="I600" s="53"/>
      <c r="J600" s="54"/>
      <c r="K600" s="53"/>
      <c r="L600" s="53"/>
      <c r="M600" s="53"/>
      <c r="N600" s="53"/>
      <c r="O600" s="53"/>
      <c r="P600" s="54"/>
      <c r="Q600" s="53"/>
      <c r="R600" s="53"/>
    </row>
    <row r="601" spans="1:18">
      <c r="A601" s="53"/>
      <c r="B601" s="3"/>
      <c r="C601" s="9"/>
      <c r="D601" s="3"/>
      <c r="E601" s="3"/>
      <c r="F601" s="3"/>
      <c r="G601" s="53"/>
      <c r="H601" s="53"/>
      <c r="I601" s="53"/>
      <c r="J601" s="54"/>
      <c r="K601" s="53"/>
      <c r="L601" s="53"/>
      <c r="M601" s="53"/>
      <c r="N601" s="53"/>
      <c r="O601" s="53"/>
      <c r="P601" s="54"/>
      <c r="Q601" s="53"/>
      <c r="R601" s="53"/>
    </row>
    <row r="602" spans="1:18">
      <c r="A602" s="53"/>
      <c r="B602" s="3"/>
      <c r="C602" s="9"/>
      <c r="D602" s="3"/>
      <c r="E602" s="3"/>
      <c r="F602" s="3"/>
      <c r="G602" s="53"/>
      <c r="H602" s="53"/>
      <c r="I602" s="53"/>
      <c r="J602" s="54"/>
      <c r="K602" s="53"/>
      <c r="L602" s="53"/>
      <c r="M602" s="53"/>
      <c r="N602" s="53"/>
      <c r="O602" s="53"/>
      <c r="P602" s="54"/>
      <c r="Q602" s="53"/>
      <c r="R602" s="53"/>
    </row>
    <row r="603" spans="1:18">
      <c r="A603" s="53"/>
      <c r="B603" s="3"/>
      <c r="C603" s="9"/>
      <c r="D603" s="3"/>
      <c r="E603" s="3"/>
      <c r="F603" s="3"/>
      <c r="G603" s="53"/>
      <c r="H603" s="53"/>
      <c r="I603" s="53"/>
      <c r="J603" s="54"/>
      <c r="K603" s="53"/>
      <c r="L603" s="53"/>
      <c r="M603" s="53"/>
      <c r="N603" s="53"/>
      <c r="O603" s="53"/>
      <c r="P603" s="54"/>
      <c r="Q603" s="53"/>
      <c r="R603" s="53"/>
    </row>
    <row r="604" spans="1:18">
      <c r="A604" s="53"/>
      <c r="B604" s="3"/>
      <c r="C604" s="9"/>
      <c r="D604" s="3"/>
      <c r="E604" s="3"/>
      <c r="F604" s="3"/>
      <c r="G604" s="53"/>
      <c r="H604" s="53"/>
      <c r="I604" s="53"/>
      <c r="J604" s="54"/>
      <c r="K604" s="53"/>
      <c r="L604" s="53"/>
      <c r="M604" s="53"/>
      <c r="N604" s="53"/>
      <c r="O604" s="53"/>
      <c r="P604" s="54"/>
      <c r="Q604" s="53"/>
      <c r="R604" s="53"/>
    </row>
    <row r="605" spans="1:18">
      <c r="A605" s="53"/>
      <c r="B605" s="3"/>
      <c r="C605" s="9"/>
      <c r="D605" s="3"/>
      <c r="E605" s="3"/>
      <c r="F605" s="3"/>
      <c r="G605" s="53"/>
      <c r="H605" s="53"/>
      <c r="I605" s="53"/>
      <c r="J605" s="54"/>
      <c r="K605" s="53"/>
      <c r="L605" s="53"/>
      <c r="M605" s="53"/>
      <c r="N605" s="53"/>
      <c r="O605" s="53"/>
      <c r="P605" s="54"/>
      <c r="Q605" s="53"/>
      <c r="R605" s="53"/>
    </row>
    <row r="606" spans="1:18">
      <c r="A606" s="53"/>
      <c r="B606" s="3"/>
      <c r="C606" s="9"/>
      <c r="D606" s="3"/>
      <c r="E606" s="3"/>
      <c r="F606" s="3"/>
      <c r="G606" s="53"/>
      <c r="H606" s="53"/>
      <c r="I606" s="53"/>
      <c r="J606" s="54"/>
      <c r="K606" s="53"/>
      <c r="L606" s="53"/>
      <c r="M606" s="53"/>
      <c r="N606" s="53"/>
      <c r="O606" s="53"/>
      <c r="P606" s="54"/>
      <c r="Q606" s="53"/>
      <c r="R606" s="53"/>
    </row>
    <row r="607" spans="1:18">
      <c r="A607" s="53"/>
      <c r="B607" s="3"/>
      <c r="C607" s="9"/>
      <c r="D607" s="3"/>
      <c r="E607" s="3"/>
      <c r="F607" s="3"/>
      <c r="G607" s="53"/>
      <c r="H607" s="53"/>
      <c r="I607" s="53"/>
      <c r="J607" s="54"/>
      <c r="K607" s="53"/>
      <c r="L607" s="53"/>
      <c r="M607" s="53"/>
      <c r="N607" s="53"/>
      <c r="O607" s="53"/>
      <c r="P607" s="54"/>
      <c r="Q607" s="53"/>
      <c r="R607" s="53"/>
    </row>
    <row r="608" spans="1:18">
      <c r="A608" s="53"/>
      <c r="B608" s="3"/>
      <c r="C608" s="9"/>
      <c r="D608" s="3"/>
      <c r="E608" s="3"/>
      <c r="F608" s="3"/>
      <c r="G608" s="53"/>
      <c r="H608" s="53"/>
      <c r="I608" s="53"/>
      <c r="J608" s="54"/>
      <c r="K608" s="53"/>
      <c r="L608" s="53"/>
      <c r="M608" s="53"/>
      <c r="N608" s="53"/>
      <c r="O608" s="53"/>
      <c r="P608" s="54"/>
      <c r="Q608" s="53"/>
      <c r="R608" s="53"/>
    </row>
    <row r="609" spans="1:18">
      <c r="A609" s="53"/>
      <c r="B609" s="3"/>
      <c r="C609" s="9"/>
      <c r="D609" s="3"/>
      <c r="E609" s="3"/>
      <c r="F609" s="3"/>
      <c r="G609" s="53"/>
      <c r="H609" s="53"/>
      <c r="I609" s="53"/>
      <c r="J609" s="54"/>
      <c r="K609" s="53"/>
      <c r="L609" s="53"/>
      <c r="M609" s="53"/>
      <c r="N609" s="53"/>
      <c r="O609" s="53"/>
      <c r="P609" s="54"/>
      <c r="Q609" s="53"/>
      <c r="R609" s="53"/>
    </row>
    <row r="610" spans="1:18">
      <c r="A610" s="53"/>
      <c r="B610" s="3"/>
      <c r="C610" s="9"/>
      <c r="D610" s="3"/>
      <c r="E610" s="3"/>
      <c r="F610" s="3"/>
      <c r="G610" s="53"/>
      <c r="H610" s="53"/>
      <c r="I610" s="53"/>
      <c r="J610" s="54"/>
      <c r="K610" s="53"/>
      <c r="L610" s="53"/>
      <c r="M610" s="53"/>
      <c r="N610" s="53"/>
      <c r="O610" s="53"/>
      <c r="P610" s="54"/>
      <c r="Q610" s="53"/>
      <c r="R610" s="53"/>
    </row>
    <row r="611" spans="1:18">
      <c r="A611" s="53"/>
      <c r="B611" s="3"/>
      <c r="C611" s="9"/>
      <c r="D611" s="3"/>
      <c r="E611" s="3"/>
      <c r="F611" s="3"/>
      <c r="G611" s="53"/>
      <c r="H611" s="53"/>
      <c r="I611" s="53"/>
      <c r="J611" s="54"/>
      <c r="K611" s="53"/>
      <c r="L611" s="53"/>
      <c r="M611" s="53"/>
      <c r="N611" s="53"/>
      <c r="O611" s="53"/>
      <c r="P611" s="54"/>
      <c r="Q611" s="53"/>
      <c r="R611" s="53"/>
    </row>
    <row r="612" spans="1:18">
      <c r="A612" s="53"/>
      <c r="B612" s="3"/>
      <c r="C612" s="9"/>
      <c r="D612" s="3"/>
      <c r="E612" s="3"/>
      <c r="F612" s="3"/>
      <c r="G612" s="53"/>
      <c r="H612" s="53"/>
      <c r="I612" s="53"/>
      <c r="J612" s="54"/>
      <c r="K612" s="53"/>
      <c r="L612" s="53"/>
      <c r="M612" s="53"/>
      <c r="N612" s="53"/>
      <c r="O612" s="53"/>
      <c r="P612" s="54"/>
      <c r="Q612" s="53"/>
      <c r="R612" s="53"/>
    </row>
    <row r="613" spans="1:18">
      <c r="A613" s="53"/>
      <c r="B613" s="3"/>
      <c r="C613" s="9"/>
      <c r="D613" s="3"/>
      <c r="E613" s="3"/>
      <c r="F613" s="3"/>
      <c r="G613" s="53"/>
      <c r="H613" s="53"/>
      <c r="I613" s="53"/>
      <c r="J613" s="54"/>
      <c r="K613" s="53"/>
      <c r="L613" s="53"/>
      <c r="M613" s="53"/>
      <c r="N613" s="53"/>
      <c r="O613" s="53"/>
      <c r="P613" s="54"/>
      <c r="Q613" s="53"/>
      <c r="R613" s="53"/>
    </row>
    <row r="614" spans="1:18">
      <c r="A614" s="53"/>
      <c r="B614" s="3"/>
      <c r="C614" s="9"/>
      <c r="D614" s="3"/>
      <c r="E614" s="3"/>
      <c r="F614" s="3"/>
      <c r="G614" s="53"/>
      <c r="H614" s="53"/>
      <c r="I614" s="53"/>
      <c r="J614" s="54"/>
      <c r="K614" s="53"/>
      <c r="L614" s="53"/>
      <c r="M614" s="53"/>
      <c r="N614" s="53"/>
      <c r="O614" s="53"/>
      <c r="P614" s="54"/>
      <c r="Q614" s="53"/>
      <c r="R614" s="53"/>
    </row>
    <row r="615" spans="1:18">
      <c r="A615" s="53"/>
      <c r="B615" s="3"/>
      <c r="C615" s="9"/>
      <c r="D615" s="3"/>
      <c r="E615" s="3"/>
      <c r="F615" s="3"/>
      <c r="G615" s="53"/>
      <c r="H615" s="53"/>
      <c r="I615" s="53"/>
      <c r="J615" s="54"/>
      <c r="K615" s="53"/>
      <c r="L615" s="53"/>
      <c r="M615" s="53"/>
      <c r="N615" s="53"/>
      <c r="O615" s="53"/>
      <c r="P615" s="54"/>
      <c r="Q615" s="53"/>
      <c r="R615" s="53"/>
    </row>
    <row r="616" spans="1:18">
      <c r="A616" s="53"/>
      <c r="B616" s="3"/>
      <c r="C616" s="9"/>
      <c r="D616" s="3"/>
      <c r="E616" s="3"/>
      <c r="F616" s="3"/>
      <c r="G616" s="53"/>
      <c r="H616" s="53"/>
      <c r="I616" s="53"/>
      <c r="J616" s="54"/>
      <c r="K616" s="53"/>
      <c r="L616" s="53"/>
      <c r="M616" s="53"/>
      <c r="N616" s="53"/>
      <c r="O616" s="53"/>
      <c r="P616" s="54"/>
      <c r="Q616" s="53"/>
      <c r="R616" s="53"/>
    </row>
    <row r="617" spans="1:18">
      <c r="A617" s="53"/>
      <c r="B617" s="3"/>
      <c r="C617" s="9"/>
      <c r="D617" s="3"/>
      <c r="E617" s="3"/>
      <c r="F617" s="3"/>
      <c r="G617" s="53"/>
      <c r="H617" s="53"/>
      <c r="I617" s="53"/>
      <c r="J617" s="54"/>
      <c r="K617" s="53"/>
      <c r="L617" s="53"/>
      <c r="M617" s="53"/>
      <c r="N617" s="53"/>
      <c r="O617" s="53"/>
      <c r="P617" s="54"/>
      <c r="Q617" s="53"/>
      <c r="R617" s="53"/>
    </row>
    <row r="618" spans="1:18">
      <c r="A618" s="53"/>
      <c r="B618" s="3"/>
      <c r="C618" s="9"/>
      <c r="D618" s="3"/>
      <c r="E618" s="3"/>
      <c r="F618" s="3"/>
      <c r="G618" s="53"/>
      <c r="H618" s="53"/>
      <c r="I618" s="53"/>
      <c r="J618" s="54"/>
      <c r="K618" s="53"/>
      <c r="L618" s="53"/>
      <c r="M618" s="53"/>
      <c r="N618" s="53"/>
      <c r="O618" s="53"/>
      <c r="P618" s="54"/>
      <c r="Q618" s="53"/>
      <c r="R618" s="53"/>
    </row>
    <row r="619" spans="1:18">
      <c r="A619" s="53"/>
      <c r="B619" s="3"/>
      <c r="C619" s="9"/>
      <c r="D619" s="3"/>
      <c r="E619" s="3"/>
      <c r="F619" s="3"/>
      <c r="G619" s="53"/>
      <c r="H619" s="53"/>
      <c r="I619" s="53"/>
      <c r="J619" s="54"/>
      <c r="K619" s="53"/>
      <c r="L619" s="53"/>
      <c r="M619" s="53"/>
      <c r="N619" s="53"/>
      <c r="O619" s="53"/>
      <c r="P619" s="54"/>
      <c r="Q619" s="53"/>
      <c r="R619" s="53"/>
    </row>
    <row r="620" spans="1:18">
      <c r="A620" s="53"/>
      <c r="B620" s="3"/>
      <c r="C620" s="9"/>
      <c r="D620" s="3"/>
      <c r="E620" s="3"/>
      <c r="F620" s="3"/>
      <c r="G620" s="53"/>
      <c r="H620" s="53"/>
      <c r="I620" s="53"/>
      <c r="J620" s="54"/>
      <c r="K620" s="53"/>
      <c r="L620" s="53"/>
      <c r="M620" s="53"/>
      <c r="N620" s="53"/>
      <c r="O620" s="53"/>
      <c r="P620" s="54"/>
      <c r="Q620" s="53"/>
      <c r="R620" s="53"/>
    </row>
    <row r="621" spans="1:18">
      <c r="A621" s="53"/>
      <c r="B621" s="3"/>
      <c r="C621" s="9"/>
      <c r="D621" s="3"/>
      <c r="E621" s="3"/>
      <c r="F621" s="3"/>
      <c r="G621" s="53"/>
      <c r="H621" s="53"/>
      <c r="I621" s="53"/>
      <c r="J621" s="54"/>
      <c r="K621" s="53"/>
      <c r="L621" s="53"/>
      <c r="M621" s="53"/>
      <c r="N621" s="53"/>
      <c r="O621" s="53"/>
      <c r="P621" s="54"/>
      <c r="Q621" s="53"/>
      <c r="R621" s="53"/>
    </row>
    <row r="622" spans="1:18">
      <c r="A622" s="53"/>
      <c r="B622" s="3"/>
      <c r="C622" s="9"/>
      <c r="D622" s="3"/>
      <c r="E622" s="3"/>
      <c r="F622" s="3"/>
      <c r="G622" s="53"/>
      <c r="H622" s="53"/>
      <c r="I622" s="53"/>
      <c r="J622" s="54"/>
      <c r="K622" s="53"/>
      <c r="L622" s="53"/>
      <c r="M622" s="53"/>
      <c r="N622" s="53"/>
      <c r="O622" s="53"/>
      <c r="P622" s="54"/>
      <c r="Q622" s="53"/>
      <c r="R622" s="53"/>
    </row>
    <row r="623" spans="1:18">
      <c r="A623" s="53"/>
      <c r="B623" s="3"/>
      <c r="C623" s="9"/>
      <c r="D623" s="3"/>
      <c r="E623" s="3"/>
      <c r="F623" s="3"/>
      <c r="G623" s="53"/>
      <c r="H623" s="53"/>
      <c r="I623" s="53"/>
      <c r="J623" s="54"/>
      <c r="K623" s="53"/>
      <c r="L623" s="53"/>
      <c r="M623" s="53"/>
      <c r="N623" s="53"/>
      <c r="O623" s="53"/>
      <c r="P623" s="54"/>
      <c r="Q623" s="53"/>
      <c r="R623" s="53"/>
    </row>
    <row r="624" spans="1:18">
      <c r="A624" s="53"/>
      <c r="B624" s="3"/>
      <c r="C624" s="9"/>
      <c r="D624" s="3"/>
      <c r="E624" s="3"/>
      <c r="F624" s="3"/>
      <c r="G624" s="53"/>
      <c r="H624" s="53"/>
      <c r="I624" s="53"/>
      <c r="J624" s="54"/>
      <c r="K624" s="53"/>
      <c r="L624" s="53"/>
      <c r="M624" s="53"/>
      <c r="N624" s="53"/>
      <c r="O624" s="53"/>
      <c r="P624" s="54"/>
      <c r="Q624" s="53"/>
      <c r="R624" s="53"/>
    </row>
    <row r="625" spans="1:18">
      <c r="A625" s="53"/>
      <c r="B625" s="3"/>
      <c r="C625" s="9"/>
      <c r="D625" s="3"/>
      <c r="E625" s="3"/>
      <c r="F625" s="3"/>
      <c r="G625" s="53"/>
      <c r="H625" s="53"/>
      <c r="I625" s="53"/>
      <c r="J625" s="54"/>
      <c r="K625" s="53"/>
      <c r="L625" s="53"/>
      <c r="M625" s="53"/>
      <c r="N625" s="53"/>
      <c r="O625" s="53"/>
      <c r="P625" s="54"/>
      <c r="Q625" s="53"/>
      <c r="R625" s="53"/>
    </row>
    <row r="626" spans="1:18">
      <c r="A626" s="53"/>
      <c r="B626" s="3"/>
      <c r="C626" s="9"/>
      <c r="D626" s="3"/>
      <c r="E626" s="3"/>
      <c r="F626" s="3"/>
      <c r="G626" s="53"/>
      <c r="H626" s="53"/>
      <c r="I626" s="53"/>
      <c r="J626" s="54"/>
      <c r="K626" s="53"/>
      <c r="L626" s="53"/>
      <c r="M626" s="53"/>
      <c r="N626" s="53"/>
      <c r="O626" s="53"/>
      <c r="P626" s="54"/>
      <c r="Q626" s="53"/>
      <c r="R626" s="53"/>
    </row>
    <row r="627" spans="1:18">
      <c r="A627" s="53"/>
      <c r="B627" s="3"/>
      <c r="C627" s="9"/>
      <c r="D627" s="3"/>
      <c r="E627" s="3"/>
      <c r="F627" s="3"/>
      <c r="G627" s="53"/>
      <c r="H627" s="53"/>
      <c r="I627" s="53"/>
      <c r="J627" s="54"/>
      <c r="K627" s="53"/>
      <c r="L627" s="53"/>
      <c r="M627" s="53"/>
      <c r="N627" s="53"/>
      <c r="O627" s="53"/>
      <c r="P627" s="54"/>
      <c r="Q627" s="53"/>
      <c r="R627" s="53"/>
    </row>
    <row r="628" spans="1:18">
      <c r="A628" s="53"/>
      <c r="B628" s="3"/>
      <c r="C628" s="9"/>
      <c r="D628" s="3"/>
      <c r="E628" s="3"/>
      <c r="F628" s="3"/>
      <c r="G628" s="53"/>
      <c r="H628" s="53"/>
      <c r="I628" s="53"/>
      <c r="J628" s="54"/>
      <c r="K628" s="53"/>
      <c r="L628" s="53"/>
      <c r="M628" s="53"/>
      <c r="N628" s="53"/>
      <c r="O628" s="53"/>
      <c r="P628" s="54"/>
      <c r="Q628" s="53"/>
      <c r="R628" s="53"/>
    </row>
    <row r="629" spans="1:18">
      <c r="A629" s="53"/>
      <c r="B629" s="3"/>
      <c r="C629" s="9"/>
      <c r="D629" s="3"/>
      <c r="E629" s="3"/>
      <c r="F629" s="3"/>
      <c r="G629" s="53"/>
      <c r="H629" s="53"/>
      <c r="I629" s="53"/>
      <c r="J629" s="54"/>
      <c r="K629" s="53"/>
      <c r="L629" s="53"/>
      <c r="M629" s="53"/>
      <c r="N629" s="53"/>
      <c r="O629" s="53"/>
      <c r="P629" s="54"/>
      <c r="Q629" s="53"/>
      <c r="R629" s="53"/>
    </row>
    <row r="630" spans="1:18">
      <c r="A630" s="53"/>
      <c r="B630" s="3"/>
      <c r="C630" s="9"/>
      <c r="D630" s="3"/>
      <c r="E630" s="3"/>
      <c r="F630" s="3"/>
      <c r="G630" s="53"/>
      <c r="H630" s="53"/>
      <c r="I630" s="53"/>
      <c r="J630" s="54"/>
      <c r="K630" s="53"/>
      <c r="L630" s="53"/>
      <c r="M630" s="53"/>
      <c r="N630" s="53"/>
      <c r="O630" s="53"/>
      <c r="P630" s="54"/>
      <c r="Q630" s="53"/>
      <c r="R630" s="53"/>
    </row>
    <row r="631" spans="1:18">
      <c r="A631" s="53"/>
      <c r="B631" s="3"/>
      <c r="C631" s="9"/>
      <c r="D631" s="3"/>
      <c r="E631" s="3"/>
      <c r="F631" s="3"/>
      <c r="G631" s="53"/>
      <c r="H631" s="53"/>
      <c r="I631" s="53"/>
      <c r="J631" s="54"/>
      <c r="K631" s="53"/>
      <c r="L631" s="53"/>
      <c r="M631" s="53"/>
      <c r="N631" s="53"/>
      <c r="O631" s="53"/>
      <c r="P631" s="54"/>
      <c r="Q631" s="53"/>
      <c r="R631" s="53"/>
    </row>
    <row r="632" spans="1:18">
      <c r="A632" s="53"/>
      <c r="B632" s="3"/>
      <c r="C632" s="9"/>
      <c r="D632" s="3"/>
      <c r="E632" s="3"/>
      <c r="F632" s="3"/>
      <c r="G632" s="53"/>
      <c r="H632" s="53"/>
      <c r="I632" s="53"/>
      <c r="J632" s="54"/>
      <c r="K632" s="53"/>
      <c r="L632" s="53"/>
      <c r="M632" s="53"/>
      <c r="N632" s="53"/>
      <c r="O632" s="53"/>
      <c r="P632" s="54"/>
      <c r="Q632" s="53"/>
      <c r="R632" s="53"/>
    </row>
  </sheetData>
  <conditionalFormatting sqref="Y2 AQ2 BI2 CA2 CS2 DK2 EC2 EU2 FM2 GE2 GW2 HO2 IG2 IY2 JQ2 KI2 LA2 LS2 MK2 NC2 NU2 OM2 PE2 PW2 QO2 RG2 RY2 SQ2 TI2 UA2 US2 VK2 WC2 WU2 XM2 YE2 YW2 ZO2 AAG2 AAY2 ABQ2 ACI2 ADA2 ADS2 AEK2 AFC2 AFU2 AGM2 AHE2 AHW2 AIO2 AJG2 AJY2 AKQ2 ALI2 AMA2 AMS2 ANK2 AOC2 AOU2 APM2 AQE2 AQW2 ARO2 ASG2 ASY2 ATQ2 AUI2 AVA2 AVS2 AWK2 AXC2 AXU2 AYM2 AZE2 AZW2 BAO2 BBG2 BBY2 BCQ2 BDI2 BEA2 BES2 BFK2 BGC2 BGU2 BHM2 BIE2 BIW2 BJO2 BKG2 BKY2 BLQ2 BMI2 BNA2 BNS2 BOK2 BPC2 BPU2 BQM2 BRE2 BRW2 BSO2 BTG2 BTY2 BUQ2 BVI2 BWA2 BWS2 BXK2 BYC2 BYU2 BZM2 CAE2 CAW2 CBO2 CCG2 CCY2 CDQ2 CEI2 CFA2 CFS2 CGK2 CHC2 CHU2 CIM2 CJE2 CJW2 CKO2 CLG2 CLY2 CMQ2 CNI2 COA2 COS2 CPK2 CQC2 CQU2 CRM2 CSE2 CSW2 CTO2 CUG2 CUY2 CVQ2 CWI2 CXA2 CXS2 CYK2 CZC2 CZU2 DAM2 DBE2 DBW2 DCO2 DDG2 DDY2 DEQ2 DFI2 DGA2 DGS2 DHK2 DIC2 DIU2 DJM2 DKE2 DKW2 DLO2 DMG2 DMY2 DNQ2 DOI2 DPA2 DPS2 DQK2 DRC2 DRU2 DSM2 DTE2 DTW2 DUO2 DVG2 DVY2 DWQ2 DXI2 DYA2 DYS2 DZK2 EAC2 EAU2 EBM2 ECE2 ECW2 EDO2 EEG2 EEY2 EFQ2 EGI2 EHA2 EHS2 EIK2 EJC2 EJU2 EKM2 ELE2 ELW2 EMO2 ENG2 ENY2 EOQ2 EPI2 EQA2 EQS2 ERK2 ESC2 ESU2 ETM2 EUE2 EUW2 EVO2 EWG2 EWY2 EXQ2 EYI2 EZA2 EZS2 FAK2 FBC2 FBU2 FCM2 FDE2 FDW2 FEO2 FFG2 FFY2 FGQ2 FHI2 FIA2 FIS2 FJK2 FKC2 FKU2 FLM2 FME2 FMW2 FNO2 FOG2 FOY2 FPQ2 FQI2 FRA2 FRS2 FSK2 FTC2 FTU2 FUM2 FVE2 FVW2 FWO2 FXG2 FXY2 FYQ2 FZI2 GAA2 GAS2 GBK2 GCC2 GCU2 GDM2 GEE2 GEW2 GFO2 GGG2 GGY2 GHQ2 GII2 GJA2 GJS2 GKK2 GLC2 GLU2 GMM2 GNE2 GNW2 GOO2 GPG2 GPY2 GQQ2 GRI2 GSA2 GSS2 GTK2 GUC2 GUU2 GVM2 GWE2 GWW2 GXO2 GYG2 GYY2 GZQ2 HAI2 HBA2 HBS2 HCK2 HDC2 HDU2 HEM2 HFE2 HFW2 HGO2 HHG2 HHY2 HIQ2 HJI2 HKA2 HKS2 HLK2 HMC2 HMU2 HNM2 HOE2 HOW2 HPO2 HQG2 HQY2 HRQ2 HSI2 HTA2 HTS2 HUK2 HVC2 HVU2 HWM2 HXE2 HXW2 HYO2 HZG2 HZY2 IAQ2 IBI2 ICA2 ICS2 IDK2 IEC2 IEU2 IFM2 IGE2 IGW2 IHO2 IIG2 IIY2 IJQ2 IKI2 ILA2 ILS2 IMK2 INC2 INU2 IOM2 IPE2 IPW2 IQO2 IRG2 IRY2 ISQ2 ITI2 IUA2 IUS2 IVK2 IWC2 IWU2 IXM2 IYE2 IYW2 IZO2 JAG2 JAY2 JBQ2 JCI2 JDA2 JDS2 JEK2 JFC2 JFU2 JGM2 JHE2 JHW2 JIO2 JJG2 JJY2 JKQ2 JLI2 JMA2 JMS2 JNK2 JOC2 JOU2 JPM2 JQE2 JQW2 JRO2 JSG2 JSY2 JTQ2 JUI2 JVA2 JVS2 JWK2 JXC2 JXU2 JYM2 JZE2 JZW2 KAO2 KBG2 KBY2 KCQ2 KDI2 KEA2 KES2 KFK2 KGC2 KGU2 KHM2 KIE2 KIW2 KJO2 KKG2 KKY2 KLQ2 KMI2 KNA2 KNS2 KOK2 KPC2 KPU2 KQM2 KRE2 KRW2 KSO2 KTG2 KTY2 KUQ2 KVI2 KWA2 KWS2 KXK2 KYC2 KYU2 KZM2 LAE2 LAW2 LBO2 LCG2 LCY2 LDQ2 LEI2 LFA2 LFS2 LGK2 LHC2 LHU2 LIM2 LJE2 LJW2 LKO2 LLG2 LLY2 LMQ2 LNI2 LOA2 LOS2 LPK2 LQC2 LQU2 LRM2 LSE2 LSW2 LTO2 LUG2 LUY2 LVQ2 LWI2 LXA2 LXS2 LYK2 LZC2 LZU2 MAM2 MBE2 MBW2 MCO2 MDG2 MDY2 MEQ2 MFI2 MGA2 MGS2 MHK2 MIC2 MIU2 MJM2 MKE2 MKW2 MLO2 MMG2 MMY2 MNQ2 MOI2 MPA2 MPS2 MQK2 MRC2 MRU2 MSM2 MTE2 MTW2 MUO2 MVG2 MVY2 MWQ2 MXI2 MYA2 MYS2 MZK2 NAC2 NAU2 NBM2 NCE2 NCW2 NDO2 NEG2 NEY2 NFQ2 NGI2 NHA2 NHS2 NIK2 NJC2 NJU2 NKM2 NLE2 NLW2 NMO2 NNG2 NNY2 NOQ2 NPI2 NQA2 NQS2 NRK2 NSC2 NSU2 NTM2 NUE2 NUW2 NVO2 NWG2 NWY2 NXQ2 NYI2 NZA2 NZS2 OAK2 OBC2 OBU2 OCM2 ODE2 ODW2 OEO2 OFG2 OFY2 OGQ2 OHI2 OIA2 OIS2 OJK2 OKC2 OKU2 OLM2 OME2 OMW2 ONO2 OOG2 OOY2 OPQ2 OQI2 ORA2 ORS2 OSK2 OTC2 OTU2 OUM2 OVE2 OVW2 OWO2 OXG2 OXY2 OYQ2 OZI2 PAA2 PAS2 PBK2 PCC2 PCU2 PDM2 PEE2 PEW2 PFO2 PGG2 PGY2 PHQ2 PII2 PJA2 PJS2 PKK2 PLC2 PLU2 PMM2 PNE2 PNW2 POO2 PPG2 PPY2 PQQ2 PRI2 PSA2 PSS2 PTK2 PUC2 PUU2 PVM2 PWE2 PWW2 PXO2 PYG2 PYY2 PZQ2 QAI2 QBA2 QBS2 QCK2 QDC2 QDU2 QEM2 QFE2 QFW2 QGO2 QHG2 QHY2 QIQ2 QJI2 QKA2 QKS2 QLK2 QMC2 QMU2 QNM2 QOE2 QOW2 QPO2 QQG2 QQY2 QRQ2 QSI2 QTA2 QTS2 QUK2 QVC2 QVU2 QWM2 QXE2 QXW2 QYO2 QZG2 QZY2 RAQ2 RBI2 RCA2 RCS2 RDK2 REC2 REU2 RFM2 RGE2 RGW2 RHO2 RIG2 RIY2 RJQ2 RKI2 RLA2 RLS2 RMK2 RNC2 RNU2 ROM2 RPE2 RPW2 RQO2 RRG2 RRY2 RSQ2 RTI2 RUA2 RUS2 RVK2 RWC2 RWU2 RXM2 RYE2 RYW2 RZO2 SAG2 SAY2 SBQ2 SCI2 SDA2 SDS2 SEK2 SFC2 SFU2 SGM2 SHE2 SHW2 SIO2 SJG2 SJY2 SKQ2 SLI2 SMA2 SMS2 SNK2 SOC2 SOU2 SPM2 SQE2 SQW2 SRO2 SSG2 SSY2 STQ2 SUI2 SVA2 SVS2 SWK2 SXC2 SXU2 SYM2 SZE2 SZW2 TAO2 TBG2 TBY2 TCQ2 TDI2 TEA2 TES2 TFK2 TGC2 TGU2 THM2 TIE2 TIW2 TJO2 TKG2 TKY2 TLQ2 TMI2 TNA2 TNS2 TOK2 TPC2 TPU2 TQM2 TRE2 TRW2 TSO2 TTG2 TTY2 TUQ2 TVI2 TWA2 TWS2 TXK2 TYC2 TYU2 TZM2 UAE2 UAW2 UBO2 UCG2 UCY2 UDQ2 UEI2 UFA2 UFS2 UGK2 UHC2 UHU2 UIM2 UJE2 UJW2 UKO2 ULG2 ULY2 UMQ2 UNI2 UOA2 UOS2 UPK2 UQC2 UQU2 URM2 USE2 USW2 UTO2 UUG2 UUY2 UVQ2 UWI2 UXA2 UXS2 UYK2 UZC2 UZU2 VAM2 VBE2 VBW2 VCO2 VDG2 VDY2 VEQ2 VFI2 VGA2 VGS2 VHK2 VIC2 VIU2 VJM2 VKE2 VKW2 VLO2 VMG2 VMY2 VNQ2 VOI2 VPA2 VPS2 VQK2 VRC2 VRU2 VSM2 VTE2 VTW2 VUO2 VVG2 VVY2 VWQ2 VXI2 VYA2 VYS2 VZK2 WAC2 WAU2 WBM2 WCE2 WCW2 WDO2 WEG2 WEY2 WFQ2 WGI2 WHA2 WHS2 WIK2 WJC2 WJU2 WKM2 WLE2 WLW2 WMO2 WNG2 WNY2 WOQ2 WPI2 WQA2 WQS2 WRK2 WSC2 WSU2 WTM2 WUE2 WUW2 WVO2 WWG2 WWY2 WXQ2 WYI2 WZA2 WZS2 XAK2 XBC2 XBU2 XCM2 XDE2 XDW2 XEO2 G2:G106">
    <cfRule type="expression" dxfId="19" priority="6">
      <formula>LEFT(G2,1)="3"</formula>
    </cfRule>
    <cfRule type="expression" dxfId="18" priority="7">
      <formula>LEFT(G2,1)="2"</formula>
    </cfRule>
    <cfRule type="expression" dxfId="17" priority="8">
      <formula>LEFT(G2,1)="1"</formula>
    </cfRule>
    <cfRule type="expression" dxfId="16" priority="9">
      <formula>LEFT(G2,3)="N/A"</formula>
    </cfRule>
    <cfRule type="expression" dxfId="15" priority="10">
      <formula>LEFT(G2,3)="UTD"</formula>
    </cfRule>
  </conditionalFormatting>
  <conditionalFormatting sqref="Y2 AQ2 BI2 CA2 CS2 DK2 EC2 EU2 FM2 GE2 GW2 HO2 IG2 IY2 JQ2 KI2 LA2 LS2 MK2 NC2 NU2 OM2 PE2 PW2 QO2 RG2 RY2 SQ2 TI2 UA2 US2 VK2 WC2 WU2 XM2 YE2 YW2 ZO2 AAG2 AAY2 ABQ2 ACI2 ADA2 ADS2 AEK2 AFC2 AFU2 AGM2 AHE2 AHW2 AIO2 AJG2 AJY2 AKQ2 ALI2 AMA2 AMS2 ANK2 AOC2 AOU2 APM2 AQE2 AQW2 ARO2 ASG2 ASY2 ATQ2 AUI2 AVA2 AVS2 AWK2 AXC2 AXU2 AYM2 AZE2 AZW2 BAO2 BBG2 BBY2 BCQ2 BDI2 BEA2 BES2 BFK2 BGC2 BGU2 BHM2 BIE2 BIW2 BJO2 BKG2 BKY2 BLQ2 BMI2 BNA2 BNS2 BOK2 BPC2 BPU2 BQM2 BRE2 BRW2 BSO2 BTG2 BTY2 BUQ2 BVI2 BWA2 BWS2 BXK2 BYC2 BYU2 BZM2 CAE2 CAW2 CBO2 CCG2 CCY2 CDQ2 CEI2 CFA2 CFS2 CGK2 CHC2 CHU2 CIM2 CJE2 CJW2 CKO2 CLG2 CLY2 CMQ2 CNI2 COA2 COS2 CPK2 CQC2 CQU2 CRM2 CSE2 CSW2 CTO2 CUG2 CUY2 CVQ2 CWI2 CXA2 CXS2 CYK2 CZC2 CZU2 DAM2 DBE2 DBW2 DCO2 DDG2 DDY2 DEQ2 DFI2 DGA2 DGS2 DHK2 DIC2 DIU2 DJM2 DKE2 DKW2 DLO2 DMG2 DMY2 DNQ2 DOI2 DPA2 DPS2 DQK2 DRC2 DRU2 DSM2 DTE2 DTW2 DUO2 DVG2 DVY2 DWQ2 DXI2 DYA2 DYS2 DZK2 EAC2 EAU2 EBM2 ECE2 ECW2 EDO2 EEG2 EEY2 EFQ2 EGI2 EHA2 EHS2 EIK2 EJC2 EJU2 EKM2 ELE2 ELW2 EMO2 ENG2 ENY2 EOQ2 EPI2 EQA2 EQS2 ERK2 ESC2 ESU2 ETM2 EUE2 EUW2 EVO2 EWG2 EWY2 EXQ2 EYI2 EZA2 EZS2 FAK2 FBC2 FBU2 FCM2 FDE2 FDW2 FEO2 FFG2 FFY2 FGQ2 FHI2 FIA2 FIS2 FJK2 FKC2 FKU2 FLM2 FME2 FMW2 FNO2 FOG2 FOY2 FPQ2 FQI2 FRA2 FRS2 FSK2 FTC2 FTU2 FUM2 FVE2 FVW2 FWO2 FXG2 FXY2 FYQ2 FZI2 GAA2 GAS2 GBK2 GCC2 GCU2 GDM2 GEE2 GEW2 GFO2 GGG2 GGY2 GHQ2 GII2 GJA2 GJS2 GKK2 GLC2 GLU2 GMM2 GNE2 GNW2 GOO2 GPG2 GPY2 GQQ2 GRI2 GSA2 GSS2 GTK2 GUC2 GUU2 GVM2 GWE2 GWW2 GXO2 GYG2 GYY2 GZQ2 HAI2 HBA2 HBS2 HCK2 HDC2 HDU2 HEM2 HFE2 HFW2 HGO2 HHG2 HHY2 HIQ2 HJI2 HKA2 HKS2 HLK2 HMC2 HMU2 HNM2 HOE2 HOW2 HPO2 HQG2 HQY2 HRQ2 HSI2 HTA2 HTS2 HUK2 HVC2 HVU2 HWM2 HXE2 HXW2 HYO2 HZG2 HZY2 IAQ2 IBI2 ICA2 ICS2 IDK2 IEC2 IEU2 IFM2 IGE2 IGW2 IHO2 IIG2 IIY2 IJQ2 IKI2 ILA2 ILS2 IMK2 INC2 INU2 IOM2 IPE2 IPW2 IQO2 IRG2 IRY2 ISQ2 ITI2 IUA2 IUS2 IVK2 IWC2 IWU2 IXM2 IYE2 IYW2 IZO2 JAG2 JAY2 JBQ2 JCI2 JDA2 JDS2 JEK2 JFC2 JFU2 JGM2 JHE2 JHW2 JIO2 JJG2 JJY2 JKQ2 JLI2 JMA2 JMS2 JNK2 JOC2 JOU2 JPM2 JQE2 JQW2 JRO2 JSG2 JSY2 JTQ2 JUI2 JVA2 JVS2 JWK2 JXC2 JXU2 JYM2 JZE2 JZW2 KAO2 KBG2 KBY2 KCQ2 KDI2 KEA2 KES2 KFK2 KGC2 KGU2 KHM2 KIE2 KIW2 KJO2 KKG2 KKY2 KLQ2 KMI2 KNA2 KNS2 KOK2 KPC2 KPU2 KQM2 KRE2 KRW2 KSO2 KTG2 KTY2 KUQ2 KVI2 KWA2 KWS2 KXK2 KYC2 KYU2 KZM2 LAE2 LAW2 LBO2 LCG2 LCY2 LDQ2 LEI2 LFA2 LFS2 LGK2 LHC2 LHU2 LIM2 LJE2 LJW2 LKO2 LLG2 LLY2 LMQ2 LNI2 LOA2 LOS2 LPK2 LQC2 LQU2 LRM2 LSE2 LSW2 LTO2 LUG2 LUY2 LVQ2 LWI2 LXA2 LXS2 LYK2 LZC2 LZU2 MAM2 MBE2 MBW2 MCO2 MDG2 MDY2 MEQ2 MFI2 MGA2 MGS2 MHK2 MIC2 MIU2 MJM2 MKE2 MKW2 MLO2 MMG2 MMY2 MNQ2 MOI2 MPA2 MPS2 MQK2 MRC2 MRU2 MSM2 MTE2 MTW2 MUO2 MVG2 MVY2 MWQ2 MXI2 MYA2 MYS2 MZK2 NAC2 NAU2 NBM2 NCE2 NCW2 NDO2 NEG2 NEY2 NFQ2 NGI2 NHA2 NHS2 NIK2 NJC2 NJU2 NKM2 NLE2 NLW2 NMO2 NNG2 NNY2 NOQ2 NPI2 NQA2 NQS2 NRK2 NSC2 NSU2 NTM2 NUE2 NUW2 NVO2 NWG2 NWY2 NXQ2 NYI2 NZA2 NZS2 OAK2 OBC2 OBU2 OCM2 ODE2 ODW2 OEO2 OFG2 OFY2 OGQ2 OHI2 OIA2 OIS2 OJK2 OKC2 OKU2 OLM2 OME2 OMW2 ONO2 OOG2 OOY2 OPQ2 OQI2 ORA2 ORS2 OSK2 OTC2 OTU2 OUM2 OVE2 OVW2 OWO2 OXG2 OXY2 OYQ2 OZI2 PAA2 PAS2 PBK2 PCC2 PCU2 PDM2 PEE2 PEW2 PFO2 PGG2 PGY2 PHQ2 PII2 PJA2 PJS2 PKK2 PLC2 PLU2 PMM2 PNE2 PNW2 POO2 PPG2 PPY2 PQQ2 PRI2 PSA2 PSS2 PTK2 PUC2 PUU2 PVM2 PWE2 PWW2 PXO2 PYG2 PYY2 PZQ2 QAI2 QBA2 QBS2 QCK2 QDC2 QDU2 QEM2 QFE2 QFW2 QGO2 QHG2 QHY2 QIQ2 QJI2 QKA2 QKS2 QLK2 QMC2 QMU2 QNM2 QOE2 QOW2 QPO2 QQG2 QQY2 QRQ2 QSI2 QTA2 QTS2 QUK2 QVC2 QVU2 QWM2 QXE2 QXW2 QYO2 QZG2 QZY2 RAQ2 RBI2 RCA2 RCS2 RDK2 REC2 REU2 RFM2 RGE2 RGW2 RHO2 RIG2 RIY2 RJQ2 RKI2 RLA2 RLS2 RMK2 RNC2 RNU2 ROM2 RPE2 RPW2 RQO2 RRG2 RRY2 RSQ2 RTI2 RUA2 RUS2 RVK2 RWC2 RWU2 RXM2 RYE2 RYW2 RZO2 SAG2 SAY2 SBQ2 SCI2 SDA2 SDS2 SEK2 SFC2 SFU2 SGM2 SHE2 SHW2 SIO2 SJG2 SJY2 SKQ2 SLI2 SMA2 SMS2 SNK2 SOC2 SOU2 SPM2 SQE2 SQW2 SRO2 SSG2 SSY2 STQ2 SUI2 SVA2 SVS2 SWK2 SXC2 SXU2 SYM2 SZE2 SZW2 TAO2 TBG2 TBY2 TCQ2 TDI2 TEA2 TES2 TFK2 TGC2 TGU2 THM2 TIE2 TIW2 TJO2 TKG2 TKY2 TLQ2 TMI2 TNA2 TNS2 TOK2 TPC2 TPU2 TQM2 TRE2 TRW2 TSO2 TTG2 TTY2 TUQ2 TVI2 TWA2 TWS2 TXK2 TYC2 TYU2 TZM2 UAE2 UAW2 UBO2 UCG2 UCY2 UDQ2 UEI2 UFA2 UFS2 UGK2 UHC2 UHU2 UIM2 UJE2 UJW2 UKO2 ULG2 ULY2 UMQ2 UNI2 UOA2 UOS2 UPK2 UQC2 UQU2 URM2 USE2 USW2 UTO2 UUG2 UUY2 UVQ2 UWI2 UXA2 UXS2 UYK2 UZC2 UZU2 VAM2 VBE2 VBW2 VCO2 VDG2 VDY2 VEQ2 VFI2 VGA2 VGS2 VHK2 VIC2 VIU2 VJM2 VKE2 VKW2 VLO2 VMG2 VMY2 VNQ2 VOI2 VPA2 VPS2 VQK2 VRC2 VRU2 VSM2 VTE2 VTW2 VUO2 VVG2 VVY2 VWQ2 VXI2 VYA2 VYS2 VZK2 WAC2 WAU2 WBM2 WCE2 WCW2 WDO2 WEG2 WEY2 WFQ2 WGI2 WHA2 WHS2 WIK2 WJC2 WJU2 WKM2 WLE2 WLW2 WMO2 WNG2 WNY2 WOQ2 WPI2 WQA2 WQS2 WRK2 WSC2 WSU2 WTM2 WUE2 WUW2 WVO2 WWG2 WWY2 WXQ2 WYI2 WZA2 WZS2 XAK2 XBC2 XBU2 XCM2 XDE2 XDW2 XEO2 G2:G632">
    <cfRule type="expression" dxfId="14" priority="1">
      <formula>LEFT(G2,1)="3"</formula>
    </cfRule>
    <cfRule type="expression" dxfId="13" priority="2">
      <formula>LEFT(G2,1)="2"</formula>
    </cfRule>
    <cfRule type="expression" dxfId="12" priority="3">
      <formula>LEFT(G2,1)="1"</formula>
    </cfRule>
    <cfRule type="expression" dxfId="11" priority="4">
      <formula>LEFT(G2,3)="N/A"</formula>
    </cfRule>
    <cfRule type="expression" dxfId="10" priority="5">
      <formula>LEFT(G2,3)="UTD"</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3565C211-FC51-4551-9D1C-4D6A6C1C38E8}">
          <x14:formula1>
            <xm:f>Lists!$F$2:$F$6</xm:f>
          </x14:formula1>
          <xm:sqref>G2:G106</xm:sqref>
        </x14:dataValidation>
        <x14:dataValidation type="list" allowBlank="1" showInputMessage="1" showErrorMessage="1" xr:uid="{13D1152D-45EB-4412-9A2F-EE2678AD7879}">
          <x14:formula1>
            <xm:f>Lists!$J$2:$J$4</xm:f>
          </x14:formula1>
          <xm:sqref>O2:O106</xm:sqref>
        </x14:dataValidation>
        <x14:dataValidation type="list" allowBlank="1" showInputMessage="1" showErrorMessage="1" xr:uid="{4E8C09D2-B270-463C-9D0C-5E8FF85301B2}">
          <x14:formula1>
            <xm:f>Lists!$H$2:$H$3</xm:f>
          </x14:formula1>
          <xm:sqref>P2:P106 J2:J106</xm:sqref>
        </x14:dataValidation>
        <x14:dataValidation type="list" allowBlank="1" showInputMessage="1" showErrorMessage="1" xr:uid="{689D1177-75A5-4858-8380-7E53104E26A0}">
          <x14:formula1>
            <xm:f>Lists!$G$2:$G$9</xm:f>
          </x14:formula1>
          <xm:sqref>H2:H106</xm:sqref>
        </x14:dataValidation>
        <x14:dataValidation type="list" allowBlank="1" showInputMessage="1" showErrorMessage="1" xr:uid="{F3E3A786-FB19-4D86-A4EE-DEEEBD0072E7}">
          <x14:formula1>
            <xm:f>Lists!$I$2:$I$9</xm:f>
          </x14:formula1>
          <xm:sqref>M2:M106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249977111117893"/>
  </sheetPr>
  <dimension ref="A1:XFA632"/>
  <sheetViews>
    <sheetView zoomScaleNormal="100" workbookViewId="0">
      <pane xSplit="4" ySplit="1" topLeftCell="K2" activePane="bottomRight" state="frozen"/>
      <selection activeCell="E29" sqref="E29"/>
      <selection pane="topRight" activeCell="E29" sqref="E29"/>
      <selection pane="bottomLeft" activeCell="E29" sqref="E29"/>
      <selection pane="bottomRight" activeCell="B6" sqref="B6"/>
    </sheetView>
  </sheetViews>
  <sheetFormatPr defaultColWidth="8.75" defaultRowHeight="15"/>
  <cols>
    <col min="1" max="1" width="15.75" style="47" customWidth="1"/>
    <col min="2" max="2" width="17" style="1" customWidth="1"/>
    <col min="3" max="3" width="9.875" style="11" customWidth="1"/>
    <col min="4" max="5" width="42.375" style="1" customWidth="1"/>
    <col min="6" max="6" width="20.625" style="47" customWidth="1"/>
    <col min="7" max="7" width="20.125" style="47" customWidth="1"/>
    <col min="8" max="8" width="36" style="47" customWidth="1"/>
    <col min="9" max="9" width="13.75" style="52" customWidth="1"/>
    <col min="10" max="10" width="34" style="47" customWidth="1"/>
    <col min="11" max="11" width="38" style="47" customWidth="1"/>
    <col min="12" max="12" width="21.125" style="47" customWidth="1"/>
    <col min="13" max="13" width="34" style="47" customWidth="1"/>
    <col min="14" max="14" width="11.125" style="52" customWidth="1"/>
    <col min="15" max="16" width="22" style="47" customWidth="1"/>
    <col min="17" max="16384" width="8.75" style="47"/>
  </cols>
  <sheetData>
    <row r="1" spans="1:1022 1027:2048 2053:3068 3074:4094 4100:5120 5126:6139 6146:7165 7172:8191 8198:9212 9217:10238 10243:11264 11269:12284 12290:13310 13316:14336 14342:15355 15362:16381" s="43" customFormat="1" ht="47.25">
      <c r="A1" s="12" t="s">
        <v>4</v>
      </c>
      <c r="B1" s="12" t="s">
        <v>30</v>
      </c>
      <c r="C1" s="12" t="s">
        <v>31</v>
      </c>
      <c r="D1" s="12" t="s">
        <v>32</v>
      </c>
      <c r="E1" s="12" t="s">
        <v>33</v>
      </c>
      <c r="F1" s="12" t="s">
        <v>34</v>
      </c>
      <c r="G1" s="12" t="s">
        <v>35</v>
      </c>
      <c r="H1" s="12" t="s">
        <v>36</v>
      </c>
      <c r="I1" s="12" t="s">
        <v>37</v>
      </c>
      <c r="J1" s="12" t="s">
        <v>38</v>
      </c>
      <c r="K1" s="12" t="s">
        <v>39</v>
      </c>
      <c r="L1" s="12" t="s">
        <v>40</v>
      </c>
      <c r="M1" s="12" t="s">
        <v>41</v>
      </c>
      <c r="N1" s="12" t="s">
        <v>43</v>
      </c>
      <c r="O1" s="12" t="s">
        <v>12</v>
      </c>
      <c r="P1" s="12" t="s">
        <v>7</v>
      </c>
    </row>
    <row r="2" spans="1:1022 1027:2048 2053:3068 3074:4094 4100:5120 5126:6139 6146:7165 7172:8191 8198:9212 9217:10238 10243:11264 11269:12284 12290:13310 13316:14336 14342:15355 15362:16381" s="53" customFormat="1" ht="45">
      <c r="A2" s="53" t="s">
        <v>18</v>
      </c>
      <c r="B2" s="3" t="s">
        <v>44</v>
      </c>
      <c r="C2" s="9" t="s">
        <v>45</v>
      </c>
      <c r="D2" s="3" t="s">
        <v>46</v>
      </c>
      <c r="E2" s="3" t="s">
        <v>47</v>
      </c>
      <c r="I2" s="54"/>
      <c r="N2" s="54"/>
      <c r="O2" s="53" t="str">
        <f>IF('Review Register'!M2="","",'Review Register'!M2)</f>
        <v/>
      </c>
      <c r="P2" s="53" t="str">
        <f>IF('Review Register'!D2="","",'Review Register'!D2)</f>
        <v/>
      </c>
      <c r="S2" s="54"/>
      <c r="Z2" s="54"/>
      <c r="AF2" s="54"/>
      <c r="AK2" s="54"/>
      <c r="AR2" s="54"/>
      <c r="AX2" s="54"/>
      <c r="BC2" s="54"/>
      <c r="BJ2" s="54"/>
      <c r="BP2" s="54"/>
      <c r="BU2" s="54"/>
      <c r="CB2" s="54"/>
      <c r="CH2" s="54"/>
      <c r="CM2" s="54"/>
      <c r="CT2" s="54"/>
      <c r="CZ2" s="54"/>
      <c r="DE2" s="54"/>
      <c r="DL2" s="54"/>
      <c r="DR2" s="54"/>
      <c r="DW2" s="54"/>
      <c r="ED2" s="54"/>
      <c r="EJ2" s="54"/>
      <c r="EO2" s="54"/>
      <c r="EV2" s="54"/>
      <c r="FB2" s="54"/>
      <c r="FG2" s="54"/>
      <c r="FN2" s="54"/>
      <c r="FT2" s="54"/>
      <c r="FY2" s="54"/>
      <c r="GF2" s="54"/>
      <c r="GL2" s="54"/>
      <c r="GQ2" s="54"/>
      <c r="GX2" s="54"/>
      <c r="HD2" s="54"/>
      <c r="HI2" s="54"/>
      <c r="HP2" s="54"/>
      <c r="HV2" s="54"/>
      <c r="IA2" s="54"/>
      <c r="IH2" s="54"/>
      <c r="IN2" s="54"/>
      <c r="IS2" s="54"/>
      <c r="IZ2" s="54"/>
      <c r="JF2" s="54"/>
      <c r="JK2" s="54"/>
      <c r="JR2" s="54"/>
      <c r="JX2" s="54"/>
      <c r="KC2" s="54"/>
      <c r="KJ2" s="54"/>
      <c r="KP2" s="54"/>
      <c r="KU2" s="54"/>
      <c r="LB2" s="54"/>
      <c r="LH2" s="54"/>
      <c r="LM2" s="54"/>
      <c r="LT2" s="54"/>
      <c r="LZ2" s="54"/>
      <c r="ME2" s="54"/>
      <c r="ML2" s="54"/>
      <c r="MR2" s="54"/>
      <c r="MW2" s="54"/>
      <c r="ND2" s="54"/>
      <c r="NJ2" s="54"/>
      <c r="NO2" s="54"/>
      <c r="NV2" s="54"/>
      <c r="OB2" s="54"/>
      <c r="OG2" s="54"/>
      <c r="ON2" s="54"/>
      <c r="OT2" s="54"/>
      <c r="OY2" s="54"/>
      <c r="PF2" s="54"/>
      <c r="PL2" s="54"/>
      <c r="PQ2" s="54"/>
      <c r="PX2" s="54"/>
      <c r="QD2" s="54"/>
      <c r="QI2" s="54"/>
      <c r="QP2" s="54"/>
      <c r="QV2" s="54"/>
      <c r="RA2" s="54"/>
      <c r="RH2" s="54"/>
      <c r="RN2" s="54"/>
      <c r="RS2" s="54"/>
      <c r="RZ2" s="54"/>
      <c r="SF2" s="54"/>
      <c r="SK2" s="54"/>
      <c r="SR2" s="54"/>
      <c r="SX2" s="54"/>
      <c r="TC2" s="54"/>
      <c r="TJ2" s="54"/>
      <c r="TP2" s="54"/>
      <c r="TU2" s="54"/>
      <c r="UB2" s="54"/>
      <c r="UH2" s="54"/>
      <c r="UM2" s="54"/>
      <c r="UT2" s="54"/>
      <c r="UZ2" s="54"/>
      <c r="VE2" s="54"/>
      <c r="VL2" s="54"/>
      <c r="VR2" s="54"/>
      <c r="VW2" s="54"/>
      <c r="WD2" s="54"/>
      <c r="WJ2" s="54"/>
      <c r="WO2" s="54"/>
      <c r="WV2" s="54"/>
      <c r="XB2" s="54"/>
      <c r="XG2" s="54"/>
      <c r="XN2" s="54"/>
      <c r="XT2" s="54"/>
      <c r="XY2" s="54"/>
      <c r="YF2" s="54"/>
      <c r="YL2" s="54"/>
      <c r="YQ2" s="54"/>
      <c r="YX2" s="54"/>
      <c r="ZD2" s="54"/>
      <c r="ZI2" s="54"/>
      <c r="ZP2" s="54"/>
      <c r="ZV2" s="54"/>
      <c r="AAA2" s="54"/>
      <c r="AAH2" s="54"/>
      <c r="AAN2" s="54"/>
      <c r="AAS2" s="54"/>
      <c r="AAZ2" s="54"/>
      <c r="ABF2" s="54"/>
      <c r="ABK2" s="54"/>
      <c r="ABR2" s="54"/>
      <c r="ABX2" s="54"/>
      <c r="ACC2" s="54"/>
      <c r="ACJ2" s="54"/>
      <c r="ACP2" s="54"/>
      <c r="ACU2" s="54"/>
      <c r="ADB2" s="54"/>
      <c r="ADH2" s="54"/>
      <c r="ADM2" s="54"/>
      <c r="ADT2" s="54"/>
      <c r="ADZ2" s="54"/>
      <c r="AEE2" s="54"/>
      <c r="AEL2" s="54"/>
      <c r="AER2" s="54"/>
      <c r="AEW2" s="54"/>
      <c r="AFD2" s="54"/>
      <c r="AFJ2" s="54"/>
      <c r="AFO2" s="54"/>
      <c r="AFV2" s="54"/>
      <c r="AGB2" s="54"/>
      <c r="AGG2" s="54"/>
      <c r="AGN2" s="54"/>
      <c r="AGT2" s="54"/>
      <c r="AGY2" s="54"/>
      <c r="AHF2" s="54"/>
      <c r="AHL2" s="54"/>
      <c r="AHQ2" s="54"/>
      <c r="AHX2" s="54"/>
      <c r="AID2" s="54"/>
      <c r="AII2" s="54"/>
      <c r="AIP2" s="54"/>
      <c r="AIV2" s="54"/>
      <c r="AJA2" s="54"/>
      <c r="AJH2" s="54"/>
      <c r="AJN2" s="54"/>
      <c r="AJS2" s="54"/>
      <c r="AJZ2" s="54"/>
      <c r="AKF2" s="54"/>
      <c r="AKK2" s="54"/>
      <c r="AKR2" s="54"/>
      <c r="AKX2" s="54"/>
      <c r="ALC2" s="54"/>
      <c r="ALJ2" s="54"/>
      <c r="ALP2" s="54"/>
      <c r="ALU2" s="54"/>
      <c r="AMB2" s="54"/>
      <c r="AMH2" s="54"/>
      <c r="AMM2" s="54"/>
      <c r="AMT2" s="54"/>
      <c r="AMZ2" s="54"/>
      <c r="ANE2" s="54"/>
      <c r="ANL2" s="54"/>
      <c r="ANR2" s="54"/>
      <c r="ANW2" s="54"/>
      <c r="AOD2" s="54"/>
      <c r="AOJ2" s="54"/>
      <c r="AOO2" s="54"/>
      <c r="AOV2" s="54"/>
      <c r="APB2" s="54"/>
      <c r="APG2" s="54"/>
      <c r="APN2" s="54"/>
      <c r="APT2" s="54"/>
      <c r="APY2" s="54"/>
      <c r="AQF2" s="54"/>
      <c r="AQL2" s="54"/>
      <c r="AQQ2" s="54"/>
      <c r="AQX2" s="54"/>
      <c r="ARD2" s="54"/>
      <c r="ARI2" s="54"/>
      <c r="ARP2" s="54"/>
      <c r="ARV2" s="54"/>
      <c r="ASA2" s="54"/>
      <c r="ASH2" s="54"/>
      <c r="ASN2" s="54"/>
      <c r="ASS2" s="54"/>
      <c r="ASZ2" s="54"/>
      <c r="ATF2" s="54"/>
      <c r="ATK2" s="54"/>
      <c r="ATR2" s="54"/>
      <c r="ATX2" s="54"/>
      <c r="AUC2" s="54"/>
      <c r="AUJ2" s="54"/>
      <c r="AUP2" s="54"/>
      <c r="AUU2" s="54"/>
      <c r="AVB2" s="54"/>
      <c r="AVH2" s="54"/>
      <c r="AVM2" s="54"/>
      <c r="AVT2" s="54"/>
      <c r="AVZ2" s="54"/>
      <c r="AWE2" s="54"/>
      <c r="AWL2" s="54"/>
      <c r="AWR2" s="54"/>
      <c r="AWW2" s="54"/>
      <c r="AXD2" s="54"/>
      <c r="AXJ2" s="54"/>
      <c r="AXO2" s="54"/>
      <c r="AXV2" s="54"/>
      <c r="AYB2" s="54"/>
      <c r="AYG2" s="54"/>
      <c r="AYN2" s="54"/>
      <c r="AYT2" s="54"/>
      <c r="AYY2" s="54"/>
      <c r="AZF2" s="54"/>
      <c r="AZL2" s="54"/>
      <c r="AZQ2" s="54"/>
      <c r="AZX2" s="54"/>
      <c r="BAD2" s="54"/>
      <c r="BAI2" s="54"/>
      <c r="BAP2" s="54"/>
      <c r="BAV2" s="54"/>
      <c r="BBA2" s="54"/>
      <c r="BBH2" s="54"/>
      <c r="BBN2" s="54"/>
      <c r="BBS2" s="54"/>
      <c r="BBZ2" s="54"/>
      <c r="BCF2" s="54"/>
      <c r="BCK2" s="54"/>
      <c r="BCR2" s="54"/>
      <c r="BCX2" s="54"/>
      <c r="BDC2" s="54"/>
      <c r="BDJ2" s="54"/>
      <c r="BDP2" s="54"/>
      <c r="BDU2" s="54"/>
      <c r="BEB2" s="54"/>
      <c r="BEH2" s="54"/>
      <c r="BEM2" s="54"/>
      <c r="BET2" s="54"/>
      <c r="BEZ2" s="54"/>
      <c r="BFE2" s="54"/>
      <c r="BFL2" s="54"/>
      <c r="BFR2" s="54"/>
      <c r="BFW2" s="54"/>
      <c r="BGD2" s="54"/>
      <c r="BGJ2" s="54"/>
      <c r="BGO2" s="54"/>
      <c r="BGV2" s="54"/>
      <c r="BHB2" s="54"/>
      <c r="BHG2" s="54"/>
      <c r="BHN2" s="54"/>
      <c r="BHT2" s="54"/>
      <c r="BHY2" s="54"/>
      <c r="BIF2" s="54"/>
      <c r="BIL2" s="54"/>
      <c r="BIQ2" s="54"/>
      <c r="BIX2" s="54"/>
      <c r="BJD2" s="54"/>
      <c r="BJI2" s="54"/>
      <c r="BJP2" s="54"/>
      <c r="BJV2" s="54"/>
      <c r="BKA2" s="54"/>
      <c r="BKH2" s="54"/>
      <c r="BKN2" s="54"/>
      <c r="BKS2" s="54"/>
      <c r="BKZ2" s="54"/>
      <c r="BLF2" s="54"/>
      <c r="BLK2" s="54"/>
      <c r="BLR2" s="54"/>
      <c r="BLX2" s="54"/>
      <c r="BMC2" s="54"/>
      <c r="BMJ2" s="54"/>
      <c r="BMP2" s="54"/>
      <c r="BMU2" s="54"/>
      <c r="BNB2" s="54"/>
      <c r="BNH2" s="54"/>
      <c r="BNM2" s="54"/>
      <c r="BNT2" s="54"/>
      <c r="BNZ2" s="54"/>
      <c r="BOE2" s="54"/>
      <c r="BOL2" s="54"/>
      <c r="BOR2" s="54"/>
      <c r="BOW2" s="54"/>
      <c r="BPD2" s="54"/>
      <c r="BPJ2" s="54"/>
      <c r="BPO2" s="54"/>
      <c r="BPV2" s="54"/>
      <c r="BQB2" s="54"/>
      <c r="BQG2" s="54"/>
      <c r="BQN2" s="54"/>
      <c r="BQT2" s="54"/>
      <c r="BQY2" s="54"/>
      <c r="BRF2" s="54"/>
      <c r="BRL2" s="54"/>
      <c r="BRQ2" s="54"/>
      <c r="BRX2" s="54"/>
      <c r="BSD2" s="54"/>
      <c r="BSI2" s="54"/>
      <c r="BSP2" s="54"/>
      <c r="BSV2" s="54"/>
      <c r="BTA2" s="54"/>
      <c r="BTH2" s="54"/>
      <c r="BTN2" s="54"/>
      <c r="BTS2" s="54"/>
      <c r="BTZ2" s="54"/>
      <c r="BUF2" s="54"/>
      <c r="BUK2" s="54"/>
      <c r="BUR2" s="54"/>
      <c r="BUX2" s="54"/>
      <c r="BVC2" s="54"/>
      <c r="BVJ2" s="54"/>
      <c r="BVP2" s="54"/>
      <c r="BVU2" s="54"/>
      <c r="BWB2" s="54"/>
      <c r="BWH2" s="54"/>
      <c r="BWM2" s="54"/>
      <c r="BWT2" s="54"/>
      <c r="BWZ2" s="54"/>
      <c r="BXE2" s="54"/>
      <c r="BXL2" s="54"/>
      <c r="BXR2" s="54"/>
      <c r="BXW2" s="54"/>
      <c r="BYD2" s="54"/>
      <c r="BYJ2" s="54"/>
      <c r="BYO2" s="54"/>
      <c r="BYV2" s="54"/>
      <c r="BZB2" s="54"/>
      <c r="BZG2" s="54"/>
      <c r="BZN2" s="54"/>
      <c r="BZT2" s="54"/>
      <c r="BZY2" s="54"/>
      <c r="CAF2" s="54"/>
      <c r="CAL2" s="54"/>
      <c r="CAQ2" s="54"/>
      <c r="CAX2" s="54"/>
      <c r="CBD2" s="54"/>
      <c r="CBI2" s="54"/>
      <c r="CBP2" s="54"/>
      <c r="CBV2" s="54"/>
      <c r="CCA2" s="54"/>
      <c r="CCH2" s="54"/>
      <c r="CCN2" s="54"/>
      <c r="CCS2" s="54"/>
      <c r="CCZ2" s="54"/>
      <c r="CDF2" s="54"/>
      <c r="CDK2" s="54"/>
      <c r="CDR2" s="54"/>
      <c r="CDX2" s="54"/>
      <c r="CEC2" s="54"/>
      <c r="CEJ2" s="54"/>
      <c r="CEP2" s="54"/>
      <c r="CEU2" s="54"/>
      <c r="CFB2" s="54"/>
      <c r="CFH2" s="54"/>
      <c r="CFM2" s="54"/>
      <c r="CFT2" s="54"/>
      <c r="CFZ2" s="54"/>
      <c r="CGE2" s="54"/>
      <c r="CGL2" s="54"/>
      <c r="CGR2" s="54"/>
      <c r="CGW2" s="54"/>
      <c r="CHD2" s="54"/>
      <c r="CHJ2" s="54"/>
      <c r="CHO2" s="54"/>
      <c r="CHV2" s="54"/>
      <c r="CIB2" s="54"/>
      <c r="CIG2" s="54"/>
      <c r="CIN2" s="54"/>
      <c r="CIT2" s="54"/>
      <c r="CIY2" s="54"/>
      <c r="CJF2" s="54"/>
      <c r="CJL2" s="54"/>
      <c r="CJQ2" s="54"/>
      <c r="CJX2" s="54"/>
      <c r="CKD2" s="54"/>
      <c r="CKI2" s="54"/>
      <c r="CKP2" s="54"/>
      <c r="CKV2" s="54"/>
      <c r="CLA2" s="54"/>
      <c r="CLH2" s="54"/>
      <c r="CLN2" s="54"/>
      <c r="CLS2" s="54"/>
      <c r="CLZ2" s="54"/>
      <c r="CMF2" s="54"/>
      <c r="CMK2" s="54"/>
      <c r="CMR2" s="54"/>
      <c r="CMX2" s="54"/>
      <c r="CNC2" s="54"/>
      <c r="CNJ2" s="54"/>
      <c r="CNP2" s="54"/>
      <c r="CNU2" s="54"/>
      <c r="COB2" s="54"/>
      <c r="COH2" s="54"/>
      <c r="COM2" s="54"/>
      <c r="COT2" s="54"/>
      <c r="COZ2" s="54"/>
      <c r="CPE2" s="54"/>
      <c r="CPL2" s="54"/>
      <c r="CPR2" s="54"/>
      <c r="CPW2" s="54"/>
      <c r="CQD2" s="54"/>
      <c r="CQJ2" s="54"/>
      <c r="CQO2" s="54"/>
      <c r="CQV2" s="54"/>
      <c r="CRB2" s="54"/>
      <c r="CRG2" s="54"/>
      <c r="CRN2" s="54"/>
      <c r="CRT2" s="54"/>
      <c r="CRY2" s="54"/>
      <c r="CSF2" s="54"/>
      <c r="CSL2" s="54"/>
      <c r="CSQ2" s="54"/>
      <c r="CSX2" s="54"/>
      <c r="CTD2" s="54"/>
      <c r="CTI2" s="54"/>
      <c r="CTP2" s="54"/>
      <c r="CTV2" s="54"/>
      <c r="CUA2" s="54"/>
      <c r="CUH2" s="54"/>
      <c r="CUN2" s="54"/>
      <c r="CUS2" s="54"/>
      <c r="CUZ2" s="54"/>
      <c r="CVF2" s="54"/>
      <c r="CVK2" s="54"/>
      <c r="CVR2" s="54"/>
      <c r="CVX2" s="54"/>
      <c r="CWC2" s="54"/>
      <c r="CWJ2" s="54"/>
      <c r="CWP2" s="54"/>
      <c r="CWU2" s="54"/>
      <c r="CXB2" s="54"/>
      <c r="CXH2" s="54"/>
      <c r="CXM2" s="54"/>
      <c r="CXT2" s="54"/>
      <c r="CXZ2" s="54"/>
      <c r="CYE2" s="54"/>
      <c r="CYL2" s="54"/>
      <c r="CYR2" s="54"/>
      <c r="CYW2" s="54"/>
      <c r="CZD2" s="54"/>
      <c r="CZJ2" s="54"/>
      <c r="CZO2" s="54"/>
      <c r="CZV2" s="54"/>
      <c r="DAB2" s="54"/>
      <c r="DAG2" s="54"/>
      <c r="DAN2" s="54"/>
      <c r="DAT2" s="54"/>
      <c r="DAY2" s="54"/>
      <c r="DBF2" s="54"/>
      <c r="DBL2" s="54"/>
      <c r="DBQ2" s="54"/>
      <c r="DBX2" s="54"/>
      <c r="DCD2" s="54"/>
      <c r="DCI2" s="54"/>
      <c r="DCP2" s="54"/>
      <c r="DCV2" s="54"/>
      <c r="DDA2" s="54"/>
      <c r="DDH2" s="54"/>
      <c r="DDN2" s="54"/>
      <c r="DDS2" s="54"/>
      <c r="DDZ2" s="54"/>
      <c r="DEF2" s="54"/>
      <c r="DEK2" s="54"/>
      <c r="DER2" s="54"/>
      <c r="DEX2" s="54"/>
      <c r="DFC2" s="54"/>
      <c r="DFJ2" s="54"/>
      <c r="DFP2" s="54"/>
      <c r="DFU2" s="54"/>
      <c r="DGB2" s="54"/>
      <c r="DGH2" s="54"/>
      <c r="DGM2" s="54"/>
      <c r="DGT2" s="54"/>
      <c r="DGZ2" s="54"/>
      <c r="DHE2" s="54"/>
      <c r="DHL2" s="54"/>
      <c r="DHR2" s="54"/>
      <c r="DHW2" s="54"/>
      <c r="DID2" s="54"/>
      <c r="DIJ2" s="54"/>
      <c r="DIO2" s="54"/>
      <c r="DIV2" s="54"/>
      <c r="DJB2" s="54"/>
      <c r="DJG2" s="54"/>
      <c r="DJN2" s="54"/>
      <c r="DJT2" s="54"/>
      <c r="DJY2" s="54"/>
      <c r="DKF2" s="54"/>
      <c r="DKL2" s="54"/>
      <c r="DKQ2" s="54"/>
      <c r="DKX2" s="54"/>
      <c r="DLD2" s="54"/>
      <c r="DLI2" s="54"/>
      <c r="DLP2" s="54"/>
      <c r="DLV2" s="54"/>
      <c r="DMA2" s="54"/>
      <c r="DMH2" s="54"/>
      <c r="DMN2" s="54"/>
      <c r="DMS2" s="54"/>
      <c r="DMZ2" s="54"/>
      <c r="DNF2" s="54"/>
      <c r="DNK2" s="54"/>
      <c r="DNR2" s="54"/>
      <c r="DNX2" s="54"/>
      <c r="DOC2" s="54"/>
      <c r="DOJ2" s="54"/>
      <c r="DOP2" s="54"/>
      <c r="DOU2" s="54"/>
      <c r="DPB2" s="54"/>
      <c r="DPH2" s="54"/>
      <c r="DPM2" s="54"/>
      <c r="DPT2" s="54"/>
      <c r="DPZ2" s="54"/>
      <c r="DQE2" s="54"/>
      <c r="DQL2" s="54"/>
      <c r="DQR2" s="54"/>
      <c r="DQW2" s="54"/>
      <c r="DRD2" s="54"/>
      <c r="DRJ2" s="54"/>
      <c r="DRO2" s="54"/>
      <c r="DRV2" s="54"/>
      <c r="DSB2" s="54"/>
      <c r="DSG2" s="54"/>
      <c r="DSN2" s="54"/>
      <c r="DST2" s="54"/>
      <c r="DSY2" s="54"/>
      <c r="DTF2" s="54"/>
      <c r="DTL2" s="54"/>
      <c r="DTQ2" s="54"/>
      <c r="DTX2" s="54"/>
      <c r="DUD2" s="54"/>
      <c r="DUI2" s="54"/>
      <c r="DUP2" s="54"/>
      <c r="DUV2" s="54"/>
      <c r="DVA2" s="54"/>
      <c r="DVH2" s="54"/>
      <c r="DVN2" s="54"/>
      <c r="DVS2" s="54"/>
      <c r="DVZ2" s="54"/>
      <c r="DWF2" s="54"/>
      <c r="DWK2" s="54"/>
      <c r="DWR2" s="54"/>
      <c r="DWX2" s="54"/>
      <c r="DXC2" s="54"/>
      <c r="DXJ2" s="54"/>
      <c r="DXP2" s="54"/>
      <c r="DXU2" s="54"/>
      <c r="DYB2" s="54"/>
      <c r="DYH2" s="54"/>
      <c r="DYM2" s="54"/>
      <c r="DYT2" s="54"/>
      <c r="DYZ2" s="54"/>
      <c r="DZE2" s="54"/>
      <c r="DZL2" s="54"/>
      <c r="DZR2" s="54"/>
      <c r="DZW2" s="54"/>
      <c r="EAD2" s="54"/>
      <c r="EAJ2" s="54"/>
      <c r="EAO2" s="54"/>
      <c r="EAV2" s="54"/>
      <c r="EBB2" s="54"/>
      <c r="EBG2" s="54"/>
      <c r="EBN2" s="54"/>
      <c r="EBT2" s="54"/>
      <c r="EBY2" s="54"/>
      <c r="ECF2" s="54"/>
      <c r="ECL2" s="54"/>
      <c r="ECQ2" s="54"/>
      <c r="ECX2" s="54"/>
      <c r="EDD2" s="54"/>
      <c r="EDI2" s="54"/>
      <c r="EDP2" s="54"/>
      <c r="EDV2" s="54"/>
      <c r="EEA2" s="54"/>
      <c r="EEH2" s="54"/>
      <c r="EEN2" s="54"/>
      <c r="EES2" s="54"/>
      <c r="EEZ2" s="54"/>
      <c r="EFF2" s="54"/>
      <c r="EFK2" s="54"/>
      <c r="EFR2" s="54"/>
      <c r="EFX2" s="54"/>
      <c r="EGC2" s="54"/>
      <c r="EGJ2" s="54"/>
      <c r="EGP2" s="54"/>
      <c r="EGU2" s="54"/>
      <c r="EHB2" s="54"/>
      <c r="EHH2" s="54"/>
      <c r="EHM2" s="54"/>
      <c r="EHT2" s="54"/>
      <c r="EHZ2" s="54"/>
      <c r="EIE2" s="54"/>
      <c r="EIL2" s="54"/>
      <c r="EIR2" s="54"/>
      <c r="EIW2" s="54"/>
      <c r="EJD2" s="54"/>
      <c r="EJJ2" s="54"/>
      <c r="EJO2" s="54"/>
      <c r="EJV2" s="54"/>
      <c r="EKB2" s="54"/>
      <c r="EKG2" s="54"/>
      <c r="EKN2" s="54"/>
      <c r="EKT2" s="54"/>
      <c r="EKY2" s="54"/>
      <c r="ELF2" s="54"/>
      <c r="ELL2" s="54"/>
      <c r="ELQ2" s="54"/>
      <c r="ELX2" s="54"/>
      <c r="EMD2" s="54"/>
      <c r="EMI2" s="54"/>
      <c r="EMP2" s="54"/>
      <c r="EMV2" s="54"/>
      <c r="ENA2" s="54"/>
      <c r="ENH2" s="54"/>
      <c r="ENN2" s="54"/>
      <c r="ENS2" s="54"/>
      <c r="ENZ2" s="54"/>
      <c r="EOF2" s="54"/>
      <c r="EOK2" s="54"/>
      <c r="EOR2" s="54"/>
      <c r="EOX2" s="54"/>
      <c r="EPC2" s="54"/>
      <c r="EPJ2" s="54"/>
      <c r="EPP2" s="54"/>
      <c r="EPU2" s="54"/>
      <c r="EQB2" s="54"/>
      <c r="EQH2" s="54"/>
      <c r="EQM2" s="54"/>
      <c r="EQT2" s="54"/>
      <c r="EQZ2" s="54"/>
      <c r="ERE2" s="54"/>
      <c r="ERL2" s="54"/>
      <c r="ERR2" s="54"/>
      <c r="ERW2" s="54"/>
      <c r="ESD2" s="54"/>
      <c r="ESJ2" s="54"/>
      <c r="ESO2" s="54"/>
      <c r="ESV2" s="54"/>
      <c r="ETB2" s="54"/>
      <c r="ETG2" s="54"/>
      <c r="ETN2" s="54"/>
      <c r="ETT2" s="54"/>
      <c r="ETY2" s="54"/>
      <c r="EUF2" s="54"/>
      <c r="EUL2" s="54"/>
      <c r="EUQ2" s="54"/>
      <c r="EUX2" s="54"/>
      <c r="EVD2" s="54"/>
      <c r="EVI2" s="54"/>
      <c r="EVP2" s="54"/>
      <c r="EVV2" s="54"/>
      <c r="EWA2" s="54"/>
      <c r="EWH2" s="54"/>
      <c r="EWN2" s="54"/>
      <c r="EWS2" s="54"/>
      <c r="EWZ2" s="54"/>
      <c r="EXF2" s="54"/>
      <c r="EXK2" s="54"/>
      <c r="EXR2" s="54"/>
      <c r="EXX2" s="54"/>
      <c r="EYC2" s="54"/>
      <c r="EYJ2" s="54"/>
      <c r="EYP2" s="54"/>
      <c r="EYU2" s="54"/>
      <c r="EZB2" s="54"/>
      <c r="EZH2" s="54"/>
      <c r="EZM2" s="54"/>
      <c r="EZT2" s="54"/>
      <c r="EZZ2" s="54"/>
      <c r="FAE2" s="54"/>
      <c r="FAL2" s="54"/>
      <c r="FAR2" s="54"/>
      <c r="FAW2" s="54"/>
      <c r="FBD2" s="54"/>
      <c r="FBJ2" s="54"/>
      <c r="FBO2" s="54"/>
      <c r="FBV2" s="54"/>
      <c r="FCB2" s="54"/>
      <c r="FCG2" s="54"/>
      <c r="FCN2" s="54"/>
      <c r="FCT2" s="54"/>
      <c r="FCY2" s="54"/>
      <c r="FDF2" s="54"/>
      <c r="FDL2" s="54"/>
      <c r="FDQ2" s="54"/>
      <c r="FDX2" s="54"/>
      <c r="FED2" s="54"/>
      <c r="FEI2" s="54"/>
      <c r="FEP2" s="54"/>
      <c r="FEV2" s="54"/>
      <c r="FFA2" s="54"/>
      <c r="FFH2" s="54"/>
      <c r="FFN2" s="54"/>
      <c r="FFS2" s="54"/>
      <c r="FFZ2" s="54"/>
      <c r="FGF2" s="54"/>
      <c r="FGK2" s="54"/>
      <c r="FGR2" s="54"/>
      <c r="FGX2" s="54"/>
      <c r="FHC2" s="54"/>
      <c r="FHJ2" s="54"/>
      <c r="FHP2" s="54"/>
      <c r="FHU2" s="54"/>
      <c r="FIB2" s="54"/>
      <c r="FIH2" s="54"/>
      <c r="FIM2" s="54"/>
      <c r="FIT2" s="54"/>
      <c r="FIZ2" s="54"/>
      <c r="FJE2" s="54"/>
      <c r="FJL2" s="54"/>
      <c r="FJR2" s="54"/>
      <c r="FJW2" s="54"/>
      <c r="FKD2" s="54"/>
      <c r="FKJ2" s="54"/>
      <c r="FKO2" s="54"/>
      <c r="FKV2" s="54"/>
      <c r="FLB2" s="54"/>
      <c r="FLG2" s="54"/>
      <c r="FLN2" s="54"/>
      <c r="FLT2" s="54"/>
      <c r="FLY2" s="54"/>
      <c r="FMF2" s="54"/>
      <c r="FML2" s="54"/>
      <c r="FMQ2" s="54"/>
      <c r="FMX2" s="54"/>
      <c r="FND2" s="54"/>
      <c r="FNI2" s="54"/>
      <c r="FNP2" s="54"/>
      <c r="FNV2" s="54"/>
      <c r="FOA2" s="54"/>
      <c r="FOH2" s="54"/>
      <c r="FON2" s="54"/>
      <c r="FOS2" s="54"/>
      <c r="FOZ2" s="54"/>
      <c r="FPF2" s="54"/>
      <c r="FPK2" s="54"/>
      <c r="FPR2" s="54"/>
      <c r="FPX2" s="54"/>
      <c r="FQC2" s="54"/>
      <c r="FQJ2" s="54"/>
      <c r="FQP2" s="54"/>
      <c r="FQU2" s="54"/>
      <c r="FRB2" s="54"/>
      <c r="FRH2" s="54"/>
      <c r="FRM2" s="54"/>
      <c r="FRT2" s="54"/>
      <c r="FRZ2" s="54"/>
      <c r="FSE2" s="54"/>
      <c r="FSL2" s="54"/>
      <c r="FSR2" s="54"/>
      <c r="FSW2" s="54"/>
      <c r="FTD2" s="54"/>
      <c r="FTJ2" s="54"/>
      <c r="FTO2" s="54"/>
      <c r="FTV2" s="54"/>
      <c r="FUB2" s="54"/>
      <c r="FUG2" s="54"/>
      <c r="FUN2" s="54"/>
      <c r="FUT2" s="54"/>
      <c r="FUY2" s="54"/>
      <c r="FVF2" s="54"/>
      <c r="FVL2" s="54"/>
      <c r="FVQ2" s="54"/>
      <c r="FVX2" s="54"/>
      <c r="FWD2" s="54"/>
      <c r="FWI2" s="54"/>
      <c r="FWP2" s="54"/>
      <c r="FWV2" s="54"/>
      <c r="FXA2" s="54"/>
      <c r="FXH2" s="54"/>
      <c r="FXN2" s="54"/>
      <c r="FXS2" s="54"/>
      <c r="FXZ2" s="54"/>
      <c r="FYF2" s="54"/>
      <c r="FYK2" s="54"/>
      <c r="FYR2" s="54"/>
      <c r="FYX2" s="54"/>
      <c r="FZC2" s="54"/>
      <c r="FZJ2" s="54"/>
      <c r="FZP2" s="54"/>
      <c r="FZU2" s="54"/>
      <c r="GAB2" s="54"/>
      <c r="GAH2" s="54"/>
      <c r="GAM2" s="54"/>
      <c r="GAT2" s="54"/>
      <c r="GAZ2" s="54"/>
      <c r="GBE2" s="54"/>
      <c r="GBL2" s="54"/>
      <c r="GBR2" s="54"/>
      <c r="GBW2" s="54"/>
      <c r="GCD2" s="54"/>
      <c r="GCJ2" s="54"/>
      <c r="GCO2" s="54"/>
      <c r="GCV2" s="54"/>
      <c r="GDB2" s="54"/>
      <c r="GDG2" s="54"/>
      <c r="GDN2" s="54"/>
      <c r="GDT2" s="54"/>
      <c r="GDY2" s="54"/>
      <c r="GEF2" s="54"/>
      <c r="GEL2" s="54"/>
      <c r="GEQ2" s="54"/>
      <c r="GEX2" s="54"/>
      <c r="GFD2" s="54"/>
      <c r="GFI2" s="54"/>
      <c r="GFP2" s="54"/>
      <c r="GFV2" s="54"/>
      <c r="GGA2" s="54"/>
      <c r="GGH2" s="54"/>
      <c r="GGN2" s="54"/>
      <c r="GGS2" s="54"/>
      <c r="GGZ2" s="54"/>
      <c r="GHF2" s="54"/>
      <c r="GHK2" s="54"/>
      <c r="GHR2" s="54"/>
      <c r="GHX2" s="54"/>
      <c r="GIC2" s="54"/>
      <c r="GIJ2" s="54"/>
      <c r="GIP2" s="54"/>
      <c r="GIU2" s="54"/>
      <c r="GJB2" s="54"/>
      <c r="GJH2" s="54"/>
      <c r="GJM2" s="54"/>
      <c r="GJT2" s="54"/>
      <c r="GJZ2" s="54"/>
      <c r="GKE2" s="54"/>
      <c r="GKL2" s="54"/>
      <c r="GKR2" s="54"/>
      <c r="GKW2" s="54"/>
      <c r="GLD2" s="54"/>
      <c r="GLJ2" s="54"/>
      <c r="GLO2" s="54"/>
      <c r="GLV2" s="54"/>
      <c r="GMB2" s="54"/>
      <c r="GMG2" s="54"/>
      <c r="GMN2" s="54"/>
      <c r="GMT2" s="54"/>
      <c r="GMY2" s="54"/>
      <c r="GNF2" s="54"/>
      <c r="GNL2" s="54"/>
      <c r="GNQ2" s="54"/>
      <c r="GNX2" s="54"/>
      <c r="GOD2" s="54"/>
      <c r="GOI2" s="54"/>
      <c r="GOP2" s="54"/>
      <c r="GOV2" s="54"/>
      <c r="GPA2" s="54"/>
      <c r="GPH2" s="54"/>
      <c r="GPN2" s="54"/>
      <c r="GPS2" s="54"/>
      <c r="GPZ2" s="54"/>
      <c r="GQF2" s="54"/>
      <c r="GQK2" s="54"/>
      <c r="GQR2" s="54"/>
      <c r="GQX2" s="54"/>
      <c r="GRC2" s="54"/>
      <c r="GRJ2" s="54"/>
      <c r="GRP2" s="54"/>
      <c r="GRU2" s="54"/>
      <c r="GSB2" s="54"/>
      <c r="GSH2" s="54"/>
      <c r="GSM2" s="54"/>
      <c r="GST2" s="54"/>
      <c r="GSZ2" s="54"/>
      <c r="GTE2" s="54"/>
      <c r="GTL2" s="54"/>
      <c r="GTR2" s="54"/>
      <c r="GTW2" s="54"/>
      <c r="GUD2" s="54"/>
      <c r="GUJ2" s="54"/>
      <c r="GUO2" s="54"/>
      <c r="GUV2" s="54"/>
      <c r="GVB2" s="54"/>
      <c r="GVG2" s="54"/>
      <c r="GVN2" s="54"/>
      <c r="GVT2" s="54"/>
      <c r="GVY2" s="54"/>
      <c r="GWF2" s="54"/>
      <c r="GWL2" s="54"/>
      <c r="GWQ2" s="54"/>
      <c r="GWX2" s="54"/>
      <c r="GXD2" s="54"/>
      <c r="GXI2" s="54"/>
      <c r="GXP2" s="54"/>
      <c r="GXV2" s="54"/>
      <c r="GYA2" s="54"/>
      <c r="GYH2" s="54"/>
      <c r="GYN2" s="54"/>
      <c r="GYS2" s="54"/>
      <c r="GYZ2" s="54"/>
      <c r="GZF2" s="54"/>
      <c r="GZK2" s="54"/>
      <c r="GZR2" s="54"/>
      <c r="GZX2" s="54"/>
      <c r="HAC2" s="54"/>
      <c r="HAJ2" s="54"/>
      <c r="HAP2" s="54"/>
      <c r="HAU2" s="54"/>
      <c r="HBB2" s="54"/>
      <c r="HBH2" s="54"/>
      <c r="HBM2" s="54"/>
      <c r="HBT2" s="54"/>
      <c r="HBZ2" s="54"/>
      <c r="HCE2" s="54"/>
      <c r="HCL2" s="54"/>
      <c r="HCR2" s="54"/>
      <c r="HCW2" s="54"/>
      <c r="HDD2" s="54"/>
      <c r="HDJ2" s="54"/>
      <c r="HDO2" s="54"/>
      <c r="HDV2" s="54"/>
      <c r="HEB2" s="54"/>
      <c r="HEG2" s="54"/>
      <c r="HEN2" s="54"/>
      <c r="HET2" s="54"/>
      <c r="HEY2" s="54"/>
      <c r="HFF2" s="54"/>
      <c r="HFL2" s="54"/>
      <c r="HFQ2" s="54"/>
      <c r="HFX2" s="54"/>
      <c r="HGD2" s="54"/>
      <c r="HGI2" s="54"/>
      <c r="HGP2" s="54"/>
      <c r="HGV2" s="54"/>
      <c r="HHA2" s="54"/>
      <c r="HHH2" s="54"/>
      <c r="HHN2" s="54"/>
      <c r="HHS2" s="54"/>
      <c r="HHZ2" s="54"/>
      <c r="HIF2" s="54"/>
      <c r="HIK2" s="54"/>
      <c r="HIR2" s="54"/>
      <c r="HIX2" s="54"/>
      <c r="HJC2" s="54"/>
      <c r="HJJ2" s="54"/>
      <c r="HJP2" s="54"/>
      <c r="HJU2" s="54"/>
      <c r="HKB2" s="54"/>
      <c r="HKH2" s="54"/>
      <c r="HKM2" s="54"/>
      <c r="HKT2" s="54"/>
      <c r="HKZ2" s="54"/>
      <c r="HLE2" s="54"/>
      <c r="HLL2" s="54"/>
      <c r="HLR2" s="54"/>
      <c r="HLW2" s="54"/>
      <c r="HMD2" s="54"/>
      <c r="HMJ2" s="54"/>
      <c r="HMO2" s="54"/>
      <c r="HMV2" s="54"/>
      <c r="HNB2" s="54"/>
      <c r="HNG2" s="54"/>
      <c r="HNN2" s="54"/>
      <c r="HNT2" s="54"/>
      <c r="HNY2" s="54"/>
      <c r="HOF2" s="54"/>
      <c r="HOL2" s="54"/>
      <c r="HOQ2" s="54"/>
      <c r="HOX2" s="54"/>
      <c r="HPD2" s="54"/>
      <c r="HPI2" s="54"/>
      <c r="HPP2" s="54"/>
      <c r="HPV2" s="54"/>
      <c r="HQA2" s="54"/>
      <c r="HQH2" s="54"/>
      <c r="HQN2" s="54"/>
      <c r="HQS2" s="54"/>
      <c r="HQZ2" s="54"/>
      <c r="HRF2" s="54"/>
      <c r="HRK2" s="54"/>
      <c r="HRR2" s="54"/>
      <c r="HRX2" s="54"/>
      <c r="HSC2" s="54"/>
      <c r="HSJ2" s="54"/>
      <c r="HSP2" s="54"/>
      <c r="HSU2" s="54"/>
      <c r="HTB2" s="54"/>
      <c r="HTH2" s="54"/>
      <c r="HTM2" s="54"/>
      <c r="HTT2" s="54"/>
      <c r="HTZ2" s="54"/>
      <c r="HUE2" s="54"/>
      <c r="HUL2" s="54"/>
      <c r="HUR2" s="54"/>
      <c r="HUW2" s="54"/>
      <c r="HVD2" s="54"/>
      <c r="HVJ2" s="54"/>
      <c r="HVO2" s="54"/>
      <c r="HVV2" s="54"/>
      <c r="HWB2" s="54"/>
      <c r="HWG2" s="54"/>
      <c r="HWN2" s="54"/>
      <c r="HWT2" s="54"/>
      <c r="HWY2" s="54"/>
      <c r="HXF2" s="54"/>
      <c r="HXL2" s="54"/>
      <c r="HXQ2" s="54"/>
      <c r="HXX2" s="54"/>
      <c r="HYD2" s="54"/>
      <c r="HYI2" s="54"/>
      <c r="HYP2" s="54"/>
      <c r="HYV2" s="54"/>
      <c r="HZA2" s="54"/>
      <c r="HZH2" s="54"/>
      <c r="HZN2" s="54"/>
      <c r="HZS2" s="54"/>
      <c r="HZZ2" s="54"/>
      <c r="IAF2" s="54"/>
      <c r="IAK2" s="54"/>
      <c r="IAR2" s="54"/>
      <c r="IAX2" s="54"/>
      <c r="IBC2" s="54"/>
      <c r="IBJ2" s="54"/>
      <c r="IBP2" s="54"/>
      <c r="IBU2" s="54"/>
      <c r="ICB2" s="54"/>
      <c r="ICH2" s="54"/>
      <c r="ICM2" s="54"/>
      <c r="ICT2" s="54"/>
      <c r="ICZ2" s="54"/>
      <c r="IDE2" s="54"/>
      <c r="IDL2" s="54"/>
      <c r="IDR2" s="54"/>
      <c r="IDW2" s="54"/>
      <c r="IED2" s="54"/>
      <c r="IEJ2" s="54"/>
      <c r="IEO2" s="54"/>
      <c r="IEV2" s="54"/>
      <c r="IFB2" s="54"/>
      <c r="IFG2" s="54"/>
      <c r="IFN2" s="54"/>
      <c r="IFT2" s="54"/>
      <c r="IFY2" s="54"/>
      <c r="IGF2" s="54"/>
      <c r="IGL2" s="54"/>
      <c r="IGQ2" s="54"/>
      <c r="IGX2" s="54"/>
      <c r="IHD2" s="54"/>
      <c r="IHI2" s="54"/>
      <c r="IHP2" s="54"/>
      <c r="IHV2" s="54"/>
      <c r="IIA2" s="54"/>
      <c r="IIH2" s="54"/>
      <c r="IIN2" s="54"/>
      <c r="IIS2" s="54"/>
      <c r="IIZ2" s="54"/>
      <c r="IJF2" s="54"/>
      <c r="IJK2" s="54"/>
      <c r="IJR2" s="54"/>
      <c r="IJX2" s="54"/>
      <c r="IKC2" s="54"/>
      <c r="IKJ2" s="54"/>
      <c r="IKP2" s="54"/>
      <c r="IKU2" s="54"/>
      <c r="ILB2" s="54"/>
      <c r="ILH2" s="54"/>
      <c r="ILM2" s="54"/>
      <c r="ILT2" s="54"/>
      <c r="ILZ2" s="54"/>
      <c r="IME2" s="54"/>
      <c r="IML2" s="54"/>
      <c r="IMR2" s="54"/>
      <c r="IMW2" s="54"/>
      <c r="IND2" s="54"/>
      <c r="INJ2" s="54"/>
      <c r="INO2" s="54"/>
      <c r="INV2" s="54"/>
      <c r="IOB2" s="54"/>
      <c r="IOG2" s="54"/>
      <c r="ION2" s="54"/>
      <c r="IOT2" s="54"/>
      <c r="IOY2" s="54"/>
      <c r="IPF2" s="54"/>
      <c r="IPL2" s="54"/>
      <c r="IPQ2" s="54"/>
      <c r="IPX2" s="54"/>
      <c r="IQD2" s="54"/>
      <c r="IQI2" s="54"/>
      <c r="IQP2" s="54"/>
      <c r="IQV2" s="54"/>
      <c r="IRA2" s="54"/>
      <c r="IRH2" s="54"/>
      <c r="IRN2" s="54"/>
      <c r="IRS2" s="54"/>
      <c r="IRZ2" s="54"/>
      <c r="ISF2" s="54"/>
      <c r="ISK2" s="54"/>
      <c r="ISR2" s="54"/>
      <c r="ISX2" s="54"/>
      <c r="ITC2" s="54"/>
      <c r="ITJ2" s="54"/>
      <c r="ITP2" s="54"/>
      <c r="ITU2" s="54"/>
      <c r="IUB2" s="54"/>
      <c r="IUH2" s="54"/>
      <c r="IUM2" s="54"/>
      <c r="IUT2" s="54"/>
      <c r="IUZ2" s="54"/>
      <c r="IVE2" s="54"/>
      <c r="IVL2" s="54"/>
      <c r="IVR2" s="54"/>
      <c r="IVW2" s="54"/>
      <c r="IWD2" s="54"/>
      <c r="IWJ2" s="54"/>
      <c r="IWO2" s="54"/>
      <c r="IWV2" s="54"/>
      <c r="IXB2" s="54"/>
      <c r="IXG2" s="54"/>
      <c r="IXN2" s="54"/>
      <c r="IXT2" s="54"/>
      <c r="IXY2" s="54"/>
      <c r="IYF2" s="54"/>
      <c r="IYL2" s="54"/>
      <c r="IYQ2" s="54"/>
      <c r="IYX2" s="54"/>
      <c r="IZD2" s="54"/>
      <c r="IZI2" s="54"/>
      <c r="IZP2" s="54"/>
      <c r="IZV2" s="54"/>
      <c r="JAA2" s="54"/>
      <c r="JAH2" s="54"/>
      <c r="JAN2" s="54"/>
      <c r="JAS2" s="54"/>
      <c r="JAZ2" s="54"/>
      <c r="JBF2" s="54"/>
      <c r="JBK2" s="54"/>
      <c r="JBR2" s="54"/>
      <c r="JBX2" s="54"/>
      <c r="JCC2" s="54"/>
      <c r="JCJ2" s="54"/>
      <c r="JCP2" s="54"/>
      <c r="JCU2" s="54"/>
      <c r="JDB2" s="54"/>
      <c r="JDH2" s="54"/>
      <c r="JDM2" s="54"/>
      <c r="JDT2" s="54"/>
      <c r="JDZ2" s="54"/>
      <c r="JEE2" s="54"/>
      <c r="JEL2" s="54"/>
      <c r="JER2" s="54"/>
      <c r="JEW2" s="54"/>
      <c r="JFD2" s="54"/>
      <c r="JFJ2" s="54"/>
      <c r="JFO2" s="54"/>
      <c r="JFV2" s="54"/>
      <c r="JGB2" s="54"/>
      <c r="JGG2" s="54"/>
      <c r="JGN2" s="54"/>
      <c r="JGT2" s="54"/>
      <c r="JGY2" s="54"/>
      <c r="JHF2" s="54"/>
      <c r="JHL2" s="54"/>
      <c r="JHQ2" s="54"/>
      <c r="JHX2" s="54"/>
      <c r="JID2" s="54"/>
      <c r="JII2" s="54"/>
      <c r="JIP2" s="54"/>
      <c r="JIV2" s="54"/>
      <c r="JJA2" s="54"/>
      <c r="JJH2" s="54"/>
      <c r="JJN2" s="54"/>
      <c r="JJS2" s="54"/>
      <c r="JJZ2" s="54"/>
      <c r="JKF2" s="54"/>
      <c r="JKK2" s="54"/>
      <c r="JKR2" s="54"/>
      <c r="JKX2" s="54"/>
      <c r="JLC2" s="54"/>
      <c r="JLJ2" s="54"/>
      <c r="JLP2" s="54"/>
      <c r="JLU2" s="54"/>
      <c r="JMB2" s="54"/>
      <c r="JMH2" s="54"/>
      <c r="JMM2" s="54"/>
      <c r="JMT2" s="54"/>
      <c r="JMZ2" s="54"/>
      <c r="JNE2" s="54"/>
      <c r="JNL2" s="54"/>
      <c r="JNR2" s="54"/>
      <c r="JNW2" s="54"/>
      <c r="JOD2" s="54"/>
      <c r="JOJ2" s="54"/>
      <c r="JOO2" s="54"/>
      <c r="JOV2" s="54"/>
      <c r="JPB2" s="54"/>
      <c r="JPG2" s="54"/>
      <c r="JPN2" s="54"/>
      <c r="JPT2" s="54"/>
      <c r="JPY2" s="54"/>
      <c r="JQF2" s="54"/>
      <c r="JQL2" s="54"/>
      <c r="JQQ2" s="54"/>
      <c r="JQX2" s="54"/>
      <c r="JRD2" s="54"/>
      <c r="JRI2" s="54"/>
      <c r="JRP2" s="54"/>
      <c r="JRV2" s="54"/>
      <c r="JSA2" s="54"/>
      <c r="JSH2" s="54"/>
      <c r="JSN2" s="54"/>
      <c r="JSS2" s="54"/>
      <c r="JSZ2" s="54"/>
      <c r="JTF2" s="54"/>
      <c r="JTK2" s="54"/>
      <c r="JTR2" s="54"/>
      <c r="JTX2" s="54"/>
      <c r="JUC2" s="54"/>
      <c r="JUJ2" s="54"/>
      <c r="JUP2" s="54"/>
      <c r="JUU2" s="54"/>
      <c r="JVB2" s="54"/>
      <c r="JVH2" s="54"/>
      <c r="JVM2" s="54"/>
      <c r="JVT2" s="54"/>
      <c r="JVZ2" s="54"/>
      <c r="JWE2" s="54"/>
      <c r="JWL2" s="54"/>
      <c r="JWR2" s="54"/>
      <c r="JWW2" s="54"/>
      <c r="JXD2" s="54"/>
      <c r="JXJ2" s="54"/>
      <c r="JXO2" s="54"/>
      <c r="JXV2" s="54"/>
      <c r="JYB2" s="54"/>
      <c r="JYG2" s="54"/>
      <c r="JYN2" s="54"/>
      <c r="JYT2" s="54"/>
      <c r="JYY2" s="54"/>
      <c r="JZF2" s="54"/>
      <c r="JZL2" s="54"/>
      <c r="JZQ2" s="54"/>
      <c r="JZX2" s="54"/>
      <c r="KAD2" s="54"/>
      <c r="KAI2" s="54"/>
      <c r="KAP2" s="54"/>
      <c r="KAV2" s="54"/>
      <c r="KBA2" s="54"/>
      <c r="KBH2" s="54"/>
      <c r="KBN2" s="54"/>
      <c r="KBS2" s="54"/>
      <c r="KBZ2" s="54"/>
      <c r="KCF2" s="54"/>
      <c r="KCK2" s="54"/>
      <c r="KCR2" s="54"/>
      <c r="KCX2" s="54"/>
      <c r="KDC2" s="54"/>
      <c r="KDJ2" s="54"/>
      <c r="KDP2" s="54"/>
      <c r="KDU2" s="54"/>
      <c r="KEB2" s="54"/>
      <c r="KEH2" s="54"/>
      <c r="KEM2" s="54"/>
      <c r="KET2" s="54"/>
      <c r="KEZ2" s="54"/>
      <c r="KFE2" s="54"/>
      <c r="KFL2" s="54"/>
      <c r="KFR2" s="54"/>
      <c r="KFW2" s="54"/>
      <c r="KGD2" s="54"/>
      <c r="KGJ2" s="54"/>
      <c r="KGO2" s="54"/>
      <c r="KGV2" s="54"/>
      <c r="KHB2" s="54"/>
      <c r="KHG2" s="54"/>
      <c r="KHN2" s="54"/>
      <c r="KHT2" s="54"/>
      <c r="KHY2" s="54"/>
      <c r="KIF2" s="54"/>
      <c r="KIL2" s="54"/>
      <c r="KIQ2" s="54"/>
      <c r="KIX2" s="54"/>
      <c r="KJD2" s="54"/>
      <c r="KJI2" s="54"/>
      <c r="KJP2" s="54"/>
      <c r="KJV2" s="54"/>
      <c r="KKA2" s="54"/>
      <c r="KKH2" s="54"/>
      <c r="KKN2" s="54"/>
      <c r="KKS2" s="54"/>
      <c r="KKZ2" s="54"/>
      <c r="KLF2" s="54"/>
      <c r="KLK2" s="54"/>
      <c r="KLR2" s="54"/>
      <c r="KLX2" s="54"/>
      <c r="KMC2" s="54"/>
      <c r="KMJ2" s="54"/>
      <c r="KMP2" s="54"/>
      <c r="KMU2" s="54"/>
      <c r="KNB2" s="54"/>
      <c r="KNH2" s="54"/>
      <c r="KNM2" s="54"/>
      <c r="KNT2" s="54"/>
      <c r="KNZ2" s="54"/>
      <c r="KOE2" s="54"/>
      <c r="KOL2" s="54"/>
      <c r="KOR2" s="54"/>
      <c r="KOW2" s="54"/>
      <c r="KPD2" s="54"/>
      <c r="KPJ2" s="54"/>
      <c r="KPO2" s="54"/>
      <c r="KPV2" s="54"/>
      <c r="KQB2" s="54"/>
      <c r="KQG2" s="54"/>
      <c r="KQN2" s="54"/>
      <c r="KQT2" s="54"/>
      <c r="KQY2" s="54"/>
      <c r="KRF2" s="54"/>
      <c r="KRL2" s="54"/>
      <c r="KRQ2" s="54"/>
      <c r="KRX2" s="54"/>
      <c r="KSD2" s="54"/>
      <c r="KSI2" s="54"/>
      <c r="KSP2" s="54"/>
      <c r="KSV2" s="54"/>
      <c r="KTA2" s="54"/>
      <c r="KTH2" s="54"/>
      <c r="KTN2" s="54"/>
      <c r="KTS2" s="54"/>
      <c r="KTZ2" s="54"/>
      <c r="KUF2" s="54"/>
      <c r="KUK2" s="54"/>
      <c r="KUR2" s="54"/>
      <c r="KUX2" s="54"/>
      <c r="KVC2" s="54"/>
      <c r="KVJ2" s="54"/>
      <c r="KVP2" s="54"/>
      <c r="KVU2" s="54"/>
      <c r="KWB2" s="54"/>
      <c r="KWH2" s="54"/>
      <c r="KWM2" s="54"/>
      <c r="KWT2" s="54"/>
      <c r="KWZ2" s="54"/>
      <c r="KXE2" s="54"/>
      <c r="KXL2" s="54"/>
      <c r="KXR2" s="54"/>
      <c r="KXW2" s="54"/>
      <c r="KYD2" s="54"/>
      <c r="KYJ2" s="54"/>
      <c r="KYO2" s="54"/>
      <c r="KYV2" s="54"/>
      <c r="KZB2" s="54"/>
      <c r="KZG2" s="54"/>
      <c r="KZN2" s="54"/>
      <c r="KZT2" s="54"/>
      <c r="KZY2" s="54"/>
      <c r="LAF2" s="54"/>
      <c r="LAL2" s="54"/>
      <c r="LAQ2" s="54"/>
      <c r="LAX2" s="54"/>
      <c r="LBD2" s="54"/>
      <c r="LBI2" s="54"/>
      <c r="LBP2" s="54"/>
      <c r="LBV2" s="54"/>
      <c r="LCA2" s="54"/>
      <c r="LCH2" s="54"/>
      <c r="LCN2" s="54"/>
      <c r="LCS2" s="54"/>
      <c r="LCZ2" s="54"/>
      <c r="LDF2" s="54"/>
      <c r="LDK2" s="54"/>
      <c r="LDR2" s="54"/>
      <c r="LDX2" s="54"/>
      <c r="LEC2" s="54"/>
      <c r="LEJ2" s="54"/>
      <c r="LEP2" s="54"/>
      <c r="LEU2" s="54"/>
      <c r="LFB2" s="54"/>
      <c r="LFH2" s="54"/>
      <c r="LFM2" s="54"/>
      <c r="LFT2" s="54"/>
      <c r="LFZ2" s="54"/>
      <c r="LGE2" s="54"/>
      <c r="LGL2" s="54"/>
      <c r="LGR2" s="54"/>
      <c r="LGW2" s="54"/>
      <c r="LHD2" s="54"/>
      <c r="LHJ2" s="54"/>
      <c r="LHO2" s="54"/>
      <c r="LHV2" s="54"/>
      <c r="LIB2" s="54"/>
      <c r="LIG2" s="54"/>
      <c r="LIN2" s="54"/>
      <c r="LIT2" s="54"/>
      <c r="LIY2" s="54"/>
      <c r="LJF2" s="54"/>
      <c r="LJL2" s="54"/>
      <c r="LJQ2" s="54"/>
      <c r="LJX2" s="54"/>
      <c r="LKD2" s="54"/>
      <c r="LKI2" s="54"/>
      <c r="LKP2" s="54"/>
      <c r="LKV2" s="54"/>
      <c r="LLA2" s="54"/>
      <c r="LLH2" s="54"/>
      <c r="LLN2" s="54"/>
      <c r="LLS2" s="54"/>
      <c r="LLZ2" s="54"/>
      <c r="LMF2" s="54"/>
      <c r="LMK2" s="54"/>
      <c r="LMR2" s="54"/>
      <c r="LMX2" s="54"/>
      <c r="LNC2" s="54"/>
      <c r="LNJ2" s="54"/>
      <c r="LNP2" s="54"/>
      <c r="LNU2" s="54"/>
      <c r="LOB2" s="54"/>
      <c r="LOH2" s="54"/>
      <c r="LOM2" s="54"/>
      <c r="LOT2" s="54"/>
      <c r="LOZ2" s="54"/>
      <c r="LPE2" s="54"/>
      <c r="LPL2" s="54"/>
      <c r="LPR2" s="54"/>
      <c r="LPW2" s="54"/>
      <c r="LQD2" s="54"/>
      <c r="LQJ2" s="54"/>
      <c r="LQO2" s="54"/>
      <c r="LQV2" s="54"/>
      <c r="LRB2" s="54"/>
      <c r="LRG2" s="54"/>
      <c r="LRN2" s="54"/>
      <c r="LRT2" s="54"/>
      <c r="LRY2" s="54"/>
      <c r="LSF2" s="54"/>
      <c r="LSL2" s="54"/>
      <c r="LSQ2" s="54"/>
      <c r="LSX2" s="54"/>
      <c r="LTD2" s="54"/>
      <c r="LTI2" s="54"/>
      <c r="LTP2" s="54"/>
      <c r="LTV2" s="54"/>
      <c r="LUA2" s="54"/>
      <c r="LUH2" s="54"/>
      <c r="LUN2" s="54"/>
      <c r="LUS2" s="54"/>
      <c r="LUZ2" s="54"/>
      <c r="LVF2" s="54"/>
      <c r="LVK2" s="54"/>
      <c r="LVR2" s="54"/>
      <c r="LVX2" s="54"/>
      <c r="LWC2" s="54"/>
      <c r="LWJ2" s="54"/>
      <c r="LWP2" s="54"/>
      <c r="LWU2" s="54"/>
      <c r="LXB2" s="54"/>
      <c r="LXH2" s="54"/>
      <c r="LXM2" s="54"/>
      <c r="LXT2" s="54"/>
      <c r="LXZ2" s="54"/>
      <c r="LYE2" s="54"/>
      <c r="LYL2" s="54"/>
      <c r="LYR2" s="54"/>
      <c r="LYW2" s="54"/>
      <c r="LZD2" s="54"/>
      <c r="LZJ2" s="54"/>
      <c r="LZO2" s="54"/>
      <c r="LZV2" s="54"/>
      <c r="MAB2" s="54"/>
      <c r="MAG2" s="54"/>
      <c r="MAN2" s="54"/>
      <c r="MAT2" s="54"/>
      <c r="MAY2" s="54"/>
      <c r="MBF2" s="54"/>
      <c r="MBL2" s="54"/>
      <c r="MBQ2" s="54"/>
      <c r="MBX2" s="54"/>
      <c r="MCD2" s="54"/>
      <c r="MCI2" s="54"/>
      <c r="MCP2" s="54"/>
      <c r="MCV2" s="54"/>
      <c r="MDA2" s="54"/>
      <c r="MDH2" s="54"/>
      <c r="MDN2" s="54"/>
      <c r="MDS2" s="54"/>
      <c r="MDZ2" s="54"/>
      <c r="MEF2" s="54"/>
      <c r="MEK2" s="54"/>
      <c r="MER2" s="54"/>
      <c r="MEX2" s="54"/>
      <c r="MFC2" s="54"/>
      <c r="MFJ2" s="54"/>
      <c r="MFP2" s="54"/>
      <c r="MFU2" s="54"/>
      <c r="MGB2" s="54"/>
      <c r="MGH2" s="54"/>
      <c r="MGM2" s="54"/>
      <c r="MGT2" s="54"/>
      <c r="MGZ2" s="54"/>
      <c r="MHE2" s="54"/>
      <c r="MHL2" s="54"/>
      <c r="MHR2" s="54"/>
      <c r="MHW2" s="54"/>
      <c r="MID2" s="54"/>
      <c r="MIJ2" s="54"/>
      <c r="MIO2" s="54"/>
      <c r="MIV2" s="54"/>
      <c r="MJB2" s="54"/>
      <c r="MJG2" s="54"/>
      <c r="MJN2" s="54"/>
      <c r="MJT2" s="54"/>
      <c r="MJY2" s="54"/>
      <c r="MKF2" s="54"/>
      <c r="MKL2" s="54"/>
      <c r="MKQ2" s="54"/>
      <c r="MKX2" s="54"/>
      <c r="MLD2" s="54"/>
      <c r="MLI2" s="54"/>
      <c r="MLP2" s="54"/>
      <c r="MLV2" s="54"/>
      <c r="MMA2" s="54"/>
      <c r="MMH2" s="54"/>
      <c r="MMN2" s="54"/>
      <c r="MMS2" s="54"/>
      <c r="MMZ2" s="54"/>
      <c r="MNF2" s="54"/>
      <c r="MNK2" s="54"/>
      <c r="MNR2" s="54"/>
      <c r="MNX2" s="54"/>
      <c r="MOC2" s="54"/>
      <c r="MOJ2" s="54"/>
      <c r="MOP2" s="54"/>
      <c r="MOU2" s="54"/>
      <c r="MPB2" s="54"/>
      <c r="MPH2" s="54"/>
      <c r="MPM2" s="54"/>
      <c r="MPT2" s="54"/>
      <c r="MPZ2" s="54"/>
      <c r="MQE2" s="54"/>
      <c r="MQL2" s="54"/>
      <c r="MQR2" s="54"/>
      <c r="MQW2" s="54"/>
      <c r="MRD2" s="54"/>
      <c r="MRJ2" s="54"/>
      <c r="MRO2" s="54"/>
      <c r="MRV2" s="54"/>
      <c r="MSB2" s="54"/>
      <c r="MSG2" s="54"/>
      <c r="MSN2" s="54"/>
      <c r="MST2" s="54"/>
      <c r="MSY2" s="54"/>
      <c r="MTF2" s="54"/>
      <c r="MTL2" s="54"/>
      <c r="MTQ2" s="54"/>
      <c r="MTX2" s="54"/>
      <c r="MUD2" s="54"/>
      <c r="MUI2" s="54"/>
      <c r="MUP2" s="54"/>
      <c r="MUV2" s="54"/>
      <c r="MVA2" s="54"/>
      <c r="MVH2" s="54"/>
      <c r="MVN2" s="54"/>
      <c r="MVS2" s="54"/>
      <c r="MVZ2" s="54"/>
      <c r="MWF2" s="54"/>
      <c r="MWK2" s="54"/>
      <c r="MWR2" s="54"/>
      <c r="MWX2" s="54"/>
      <c r="MXC2" s="54"/>
      <c r="MXJ2" s="54"/>
      <c r="MXP2" s="54"/>
      <c r="MXU2" s="54"/>
      <c r="MYB2" s="54"/>
      <c r="MYH2" s="54"/>
      <c r="MYM2" s="54"/>
      <c r="MYT2" s="54"/>
      <c r="MYZ2" s="54"/>
      <c r="MZE2" s="54"/>
      <c r="MZL2" s="54"/>
      <c r="MZR2" s="54"/>
      <c r="MZW2" s="54"/>
      <c r="NAD2" s="54"/>
      <c r="NAJ2" s="54"/>
      <c r="NAO2" s="54"/>
      <c r="NAV2" s="54"/>
      <c r="NBB2" s="54"/>
      <c r="NBG2" s="54"/>
      <c r="NBN2" s="54"/>
      <c r="NBT2" s="54"/>
      <c r="NBY2" s="54"/>
      <c r="NCF2" s="54"/>
      <c r="NCL2" s="54"/>
      <c r="NCQ2" s="54"/>
      <c r="NCX2" s="54"/>
      <c r="NDD2" s="54"/>
      <c r="NDI2" s="54"/>
      <c r="NDP2" s="54"/>
      <c r="NDV2" s="54"/>
      <c r="NEA2" s="54"/>
      <c r="NEH2" s="54"/>
      <c r="NEN2" s="54"/>
      <c r="NES2" s="54"/>
      <c r="NEZ2" s="54"/>
      <c r="NFF2" s="54"/>
      <c r="NFK2" s="54"/>
      <c r="NFR2" s="54"/>
      <c r="NFX2" s="54"/>
      <c r="NGC2" s="54"/>
      <c r="NGJ2" s="54"/>
      <c r="NGP2" s="54"/>
      <c r="NGU2" s="54"/>
      <c r="NHB2" s="54"/>
      <c r="NHH2" s="54"/>
      <c r="NHM2" s="54"/>
      <c r="NHT2" s="54"/>
      <c r="NHZ2" s="54"/>
      <c r="NIE2" s="54"/>
      <c r="NIL2" s="54"/>
      <c r="NIR2" s="54"/>
      <c r="NIW2" s="54"/>
      <c r="NJD2" s="54"/>
      <c r="NJJ2" s="54"/>
      <c r="NJO2" s="54"/>
      <c r="NJV2" s="54"/>
      <c r="NKB2" s="54"/>
      <c r="NKG2" s="54"/>
      <c r="NKN2" s="54"/>
      <c r="NKT2" s="54"/>
      <c r="NKY2" s="54"/>
      <c r="NLF2" s="54"/>
      <c r="NLL2" s="54"/>
      <c r="NLQ2" s="54"/>
      <c r="NLX2" s="54"/>
      <c r="NMD2" s="54"/>
      <c r="NMI2" s="54"/>
      <c r="NMP2" s="54"/>
      <c r="NMV2" s="54"/>
      <c r="NNA2" s="54"/>
      <c r="NNH2" s="54"/>
      <c r="NNN2" s="54"/>
      <c r="NNS2" s="54"/>
      <c r="NNZ2" s="54"/>
      <c r="NOF2" s="54"/>
      <c r="NOK2" s="54"/>
      <c r="NOR2" s="54"/>
      <c r="NOX2" s="54"/>
      <c r="NPC2" s="54"/>
      <c r="NPJ2" s="54"/>
      <c r="NPP2" s="54"/>
      <c r="NPU2" s="54"/>
      <c r="NQB2" s="54"/>
      <c r="NQH2" s="54"/>
      <c r="NQM2" s="54"/>
      <c r="NQT2" s="54"/>
      <c r="NQZ2" s="54"/>
      <c r="NRE2" s="54"/>
      <c r="NRL2" s="54"/>
      <c r="NRR2" s="54"/>
      <c r="NRW2" s="54"/>
      <c r="NSD2" s="54"/>
      <c r="NSJ2" s="54"/>
      <c r="NSO2" s="54"/>
      <c r="NSV2" s="54"/>
      <c r="NTB2" s="54"/>
      <c r="NTG2" s="54"/>
      <c r="NTN2" s="54"/>
      <c r="NTT2" s="54"/>
      <c r="NTY2" s="54"/>
      <c r="NUF2" s="54"/>
      <c r="NUL2" s="54"/>
      <c r="NUQ2" s="54"/>
      <c r="NUX2" s="54"/>
      <c r="NVD2" s="54"/>
      <c r="NVI2" s="54"/>
      <c r="NVP2" s="54"/>
      <c r="NVV2" s="54"/>
      <c r="NWA2" s="54"/>
      <c r="NWH2" s="54"/>
      <c r="NWN2" s="54"/>
      <c r="NWS2" s="54"/>
      <c r="NWZ2" s="54"/>
      <c r="NXF2" s="54"/>
      <c r="NXK2" s="54"/>
      <c r="NXR2" s="54"/>
      <c r="NXX2" s="54"/>
      <c r="NYC2" s="54"/>
      <c r="NYJ2" s="54"/>
      <c r="NYP2" s="54"/>
      <c r="NYU2" s="54"/>
      <c r="NZB2" s="54"/>
      <c r="NZH2" s="54"/>
      <c r="NZM2" s="54"/>
      <c r="NZT2" s="54"/>
      <c r="NZZ2" s="54"/>
      <c r="OAE2" s="54"/>
      <c r="OAL2" s="54"/>
      <c r="OAR2" s="54"/>
      <c r="OAW2" s="54"/>
      <c r="OBD2" s="54"/>
      <c r="OBJ2" s="54"/>
      <c r="OBO2" s="54"/>
      <c r="OBV2" s="54"/>
      <c r="OCB2" s="54"/>
      <c r="OCG2" s="54"/>
      <c r="OCN2" s="54"/>
      <c r="OCT2" s="54"/>
      <c r="OCY2" s="54"/>
      <c r="ODF2" s="54"/>
      <c r="ODL2" s="54"/>
      <c r="ODQ2" s="54"/>
      <c r="ODX2" s="54"/>
      <c r="OED2" s="54"/>
      <c r="OEI2" s="54"/>
      <c r="OEP2" s="54"/>
      <c r="OEV2" s="54"/>
      <c r="OFA2" s="54"/>
      <c r="OFH2" s="54"/>
      <c r="OFN2" s="54"/>
      <c r="OFS2" s="54"/>
      <c r="OFZ2" s="54"/>
      <c r="OGF2" s="54"/>
      <c r="OGK2" s="54"/>
      <c r="OGR2" s="54"/>
      <c r="OGX2" s="54"/>
      <c r="OHC2" s="54"/>
      <c r="OHJ2" s="54"/>
      <c r="OHP2" s="54"/>
      <c r="OHU2" s="54"/>
      <c r="OIB2" s="54"/>
      <c r="OIH2" s="54"/>
      <c r="OIM2" s="54"/>
      <c r="OIT2" s="54"/>
      <c r="OIZ2" s="54"/>
      <c r="OJE2" s="54"/>
      <c r="OJL2" s="54"/>
      <c r="OJR2" s="54"/>
      <c r="OJW2" s="54"/>
      <c r="OKD2" s="54"/>
      <c r="OKJ2" s="54"/>
      <c r="OKO2" s="54"/>
      <c r="OKV2" s="54"/>
      <c r="OLB2" s="54"/>
      <c r="OLG2" s="54"/>
      <c r="OLN2" s="54"/>
      <c r="OLT2" s="54"/>
      <c r="OLY2" s="54"/>
      <c r="OMF2" s="54"/>
      <c r="OML2" s="54"/>
      <c r="OMQ2" s="54"/>
      <c r="OMX2" s="54"/>
      <c r="OND2" s="54"/>
      <c r="ONI2" s="54"/>
      <c r="ONP2" s="54"/>
      <c r="ONV2" s="54"/>
      <c r="OOA2" s="54"/>
      <c r="OOH2" s="54"/>
      <c r="OON2" s="54"/>
      <c r="OOS2" s="54"/>
      <c r="OOZ2" s="54"/>
      <c r="OPF2" s="54"/>
      <c r="OPK2" s="54"/>
      <c r="OPR2" s="54"/>
      <c r="OPX2" s="54"/>
      <c r="OQC2" s="54"/>
      <c r="OQJ2" s="54"/>
      <c r="OQP2" s="54"/>
      <c r="OQU2" s="54"/>
      <c r="ORB2" s="54"/>
      <c r="ORH2" s="54"/>
      <c r="ORM2" s="54"/>
      <c r="ORT2" s="54"/>
      <c r="ORZ2" s="54"/>
      <c r="OSE2" s="54"/>
      <c r="OSL2" s="54"/>
      <c r="OSR2" s="54"/>
      <c r="OSW2" s="54"/>
      <c r="OTD2" s="54"/>
      <c r="OTJ2" s="54"/>
      <c r="OTO2" s="54"/>
      <c r="OTV2" s="54"/>
      <c r="OUB2" s="54"/>
      <c r="OUG2" s="54"/>
      <c r="OUN2" s="54"/>
      <c r="OUT2" s="54"/>
      <c r="OUY2" s="54"/>
      <c r="OVF2" s="54"/>
      <c r="OVL2" s="54"/>
      <c r="OVQ2" s="54"/>
      <c r="OVX2" s="54"/>
      <c r="OWD2" s="54"/>
      <c r="OWI2" s="54"/>
      <c r="OWP2" s="54"/>
      <c r="OWV2" s="54"/>
      <c r="OXA2" s="54"/>
      <c r="OXH2" s="54"/>
      <c r="OXN2" s="54"/>
      <c r="OXS2" s="54"/>
      <c r="OXZ2" s="54"/>
      <c r="OYF2" s="54"/>
      <c r="OYK2" s="54"/>
      <c r="OYR2" s="54"/>
      <c r="OYX2" s="54"/>
      <c r="OZC2" s="54"/>
      <c r="OZJ2" s="54"/>
      <c r="OZP2" s="54"/>
      <c r="OZU2" s="54"/>
      <c r="PAB2" s="54"/>
      <c r="PAH2" s="54"/>
      <c r="PAM2" s="54"/>
      <c r="PAT2" s="54"/>
      <c r="PAZ2" s="54"/>
      <c r="PBE2" s="54"/>
      <c r="PBL2" s="54"/>
      <c r="PBR2" s="54"/>
      <c r="PBW2" s="54"/>
      <c r="PCD2" s="54"/>
      <c r="PCJ2" s="54"/>
      <c r="PCO2" s="54"/>
      <c r="PCV2" s="54"/>
      <c r="PDB2" s="54"/>
      <c r="PDG2" s="54"/>
      <c r="PDN2" s="54"/>
      <c r="PDT2" s="54"/>
      <c r="PDY2" s="54"/>
      <c r="PEF2" s="54"/>
      <c r="PEL2" s="54"/>
      <c r="PEQ2" s="54"/>
      <c r="PEX2" s="54"/>
      <c r="PFD2" s="54"/>
      <c r="PFI2" s="54"/>
      <c r="PFP2" s="54"/>
      <c r="PFV2" s="54"/>
      <c r="PGA2" s="54"/>
      <c r="PGH2" s="54"/>
      <c r="PGN2" s="54"/>
      <c r="PGS2" s="54"/>
      <c r="PGZ2" s="54"/>
      <c r="PHF2" s="54"/>
      <c r="PHK2" s="54"/>
      <c r="PHR2" s="54"/>
      <c r="PHX2" s="54"/>
      <c r="PIC2" s="54"/>
      <c r="PIJ2" s="54"/>
      <c r="PIP2" s="54"/>
      <c r="PIU2" s="54"/>
      <c r="PJB2" s="54"/>
      <c r="PJH2" s="54"/>
      <c r="PJM2" s="54"/>
      <c r="PJT2" s="54"/>
      <c r="PJZ2" s="54"/>
      <c r="PKE2" s="54"/>
      <c r="PKL2" s="54"/>
      <c r="PKR2" s="54"/>
      <c r="PKW2" s="54"/>
      <c r="PLD2" s="54"/>
      <c r="PLJ2" s="54"/>
      <c r="PLO2" s="54"/>
      <c r="PLV2" s="54"/>
      <c r="PMB2" s="54"/>
      <c r="PMG2" s="54"/>
      <c r="PMN2" s="54"/>
      <c r="PMT2" s="54"/>
      <c r="PMY2" s="54"/>
      <c r="PNF2" s="54"/>
      <c r="PNL2" s="54"/>
      <c r="PNQ2" s="54"/>
      <c r="PNX2" s="54"/>
      <c r="POD2" s="54"/>
      <c r="POI2" s="54"/>
      <c r="POP2" s="54"/>
      <c r="POV2" s="54"/>
      <c r="PPA2" s="54"/>
      <c r="PPH2" s="54"/>
      <c r="PPN2" s="54"/>
      <c r="PPS2" s="54"/>
      <c r="PPZ2" s="54"/>
      <c r="PQF2" s="54"/>
      <c r="PQK2" s="54"/>
      <c r="PQR2" s="54"/>
      <c r="PQX2" s="54"/>
      <c r="PRC2" s="54"/>
      <c r="PRJ2" s="54"/>
      <c r="PRP2" s="54"/>
      <c r="PRU2" s="54"/>
      <c r="PSB2" s="54"/>
      <c r="PSH2" s="54"/>
      <c r="PSM2" s="54"/>
      <c r="PST2" s="54"/>
      <c r="PSZ2" s="54"/>
      <c r="PTE2" s="54"/>
      <c r="PTL2" s="54"/>
      <c r="PTR2" s="54"/>
      <c r="PTW2" s="54"/>
      <c r="PUD2" s="54"/>
      <c r="PUJ2" s="54"/>
      <c r="PUO2" s="54"/>
      <c r="PUV2" s="54"/>
      <c r="PVB2" s="54"/>
      <c r="PVG2" s="54"/>
      <c r="PVN2" s="54"/>
      <c r="PVT2" s="54"/>
      <c r="PVY2" s="54"/>
      <c r="PWF2" s="54"/>
      <c r="PWL2" s="54"/>
      <c r="PWQ2" s="54"/>
      <c r="PWX2" s="54"/>
      <c r="PXD2" s="54"/>
      <c r="PXI2" s="54"/>
      <c r="PXP2" s="54"/>
      <c r="PXV2" s="54"/>
      <c r="PYA2" s="54"/>
      <c r="PYH2" s="54"/>
      <c r="PYN2" s="54"/>
      <c r="PYS2" s="54"/>
      <c r="PYZ2" s="54"/>
      <c r="PZF2" s="54"/>
      <c r="PZK2" s="54"/>
      <c r="PZR2" s="54"/>
      <c r="PZX2" s="54"/>
      <c r="QAC2" s="54"/>
      <c r="QAJ2" s="54"/>
      <c r="QAP2" s="54"/>
      <c r="QAU2" s="54"/>
      <c r="QBB2" s="54"/>
      <c r="QBH2" s="54"/>
      <c r="QBM2" s="54"/>
      <c r="QBT2" s="54"/>
      <c r="QBZ2" s="54"/>
      <c r="QCE2" s="54"/>
      <c r="QCL2" s="54"/>
      <c r="QCR2" s="54"/>
      <c r="QCW2" s="54"/>
      <c r="QDD2" s="54"/>
      <c r="QDJ2" s="54"/>
      <c r="QDO2" s="54"/>
      <c r="QDV2" s="54"/>
      <c r="QEB2" s="54"/>
      <c r="QEG2" s="54"/>
      <c r="QEN2" s="54"/>
      <c r="QET2" s="54"/>
      <c r="QEY2" s="54"/>
      <c r="QFF2" s="54"/>
      <c r="QFL2" s="54"/>
      <c r="QFQ2" s="54"/>
      <c r="QFX2" s="54"/>
      <c r="QGD2" s="54"/>
      <c r="QGI2" s="54"/>
      <c r="QGP2" s="54"/>
      <c r="QGV2" s="54"/>
      <c r="QHA2" s="54"/>
      <c r="QHH2" s="54"/>
      <c r="QHN2" s="54"/>
      <c r="QHS2" s="54"/>
      <c r="QHZ2" s="54"/>
      <c r="QIF2" s="54"/>
      <c r="QIK2" s="54"/>
      <c r="QIR2" s="54"/>
      <c r="QIX2" s="54"/>
      <c r="QJC2" s="54"/>
      <c r="QJJ2" s="54"/>
      <c r="QJP2" s="54"/>
      <c r="QJU2" s="54"/>
      <c r="QKB2" s="54"/>
      <c r="QKH2" s="54"/>
      <c r="QKM2" s="54"/>
      <c r="QKT2" s="54"/>
      <c r="QKZ2" s="54"/>
      <c r="QLE2" s="54"/>
      <c r="QLL2" s="54"/>
      <c r="QLR2" s="54"/>
      <c r="QLW2" s="54"/>
      <c r="QMD2" s="54"/>
      <c r="QMJ2" s="54"/>
      <c r="QMO2" s="54"/>
      <c r="QMV2" s="54"/>
      <c r="QNB2" s="54"/>
      <c r="QNG2" s="54"/>
      <c r="QNN2" s="54"/>
      <c r="QNT2" s="54"/>
      <c r="QNY2" s="54"/>
      <c r="QOF2" s="54"/>
      <c r="QOL2" s="54"/>
      <c r="QOQ2" s="54"/>
      <c r="QOX2" s="54"/>
      <c r="QPD2" s="54"/>
      <c r="QPI2" s="54"/>
      <c r="QPP2" s="54"/>
      <c r="QPV2" s="54"/>
      <c r="QQA2" s="54"/>
      <c r="QQH2" s="54"/>
      <c r="QQN2" s="54"/>
      <c r="QQS2" s="54"/>
      <c r="QQZ2" s="54"/>
      <c r="QRF2" s="54"/>
      <c r="QRK2" s="54"/>
      <c r="QRR2" s="54"/>
      <c r="QRX2" s="54"/>
      <c r="QSC2" s="54"/>
      <c r="QSJ2" s="54"/>
      <c r="QSP2" s="54"/>
      <c r="QSU2" s="54"/>
      <c r="QTB2" s="54"/>
      <c r="QTH2" s="54"/>
      <c r="QTM2" s="54"/>
      <c r="QTT2" s="54"/>
      <c r="QTZ2" s="54"/>
      <c r="QUE2" s="54"/>
      <c r="QUL2" s="54"/>
      <c r="QUR2" s="54"/>
      <c r="QUW2" s="54"/>
      <c r="QVD2" s="54"/>
      <c r="QVJ2" s="54"/>
      <c r="QVO2" s="54"/>
      <c r="QVV2" s="54"/>
      <c r="QWB2" s="54"/>
      <c r="QWG2" s="54"/>
      <c r="QWN2" s="54"/>
      <c r="QWT2" s="54"/>
      <c r="QWY2" s="54"/>
      <c r="QXF2" s="54"/>
      <c r="QXL2" s="54"/>
      <c r="QXQ2" s="54"/>
      <c r="QXX2" s="54"/>
      <c r="QYD2" s="54"/>
      <c r="QYI2" s="54"/>
      <c r="QYP2" s="54"/>
      <c r="QYV2" s="54"/>
      <c r="QZA2" s="54"/>
      <c r="QZH2" s="54"/>
      <c r="QZN2" s="54"/>
      <c r="QZS2" s="54"/>
      <c r="QZZ2" s="54"/>
      <c r="RAF2" s="54"/>
      <c r="RAK2" s="54"/>
      <c r="RAR2" s="54"/>
      <c r="RAX2" s="54"/>
      <c r="RBC2" s="54"/>
      <c r="RBJ2" s="54"/>
      <c r="RBP2" s="54"/>
      <c r="RBU2" s="54"/>
      <c r="RCB2" s="54"/>
      <c r="RCH2" s="54"/>
      <c r="RCM2" s="54"/>
      <c r="RCT2" s="54"/>
      <c r="RCZ2" s="54"/>
      <c r="RDE2" s="54"/>
      <c r="RDL2" s="54"/>
      <c r="RDR2" s="54"/>
      <c r="RDW2" s="54"/>
      <c r="RED2" s="54"/>
      <c r="REJ2" s="54"/>
      <c r="REO2" s="54"/>
      <c r="REV2" s="54"/>
      <c r="RFB2" s="54"/>
      <c r="RFG2" s="54"/>
      <c r="RFN2" s="54"/>
      <c r="RFT2" s="54"/>
      <c r="RFY2" s="54"/>
      <c r="RGF2" s="54"/>
      <c r="RGL2" s="54"/>
      <c r="RGQ2" s="54"/>
      <c r="RGX2" s="54"/>
      <c r="RHD2" s="54"/>
      <c r="RHI2" s="54"/>
      <c r="RHP2" s="54"/>
      <c r="RHV2" s="54"/>
      <c r="RIA2" s="54"/>
      <c r="RIH2" s="54"/>
      <c r="RIN2" s="54"/>
      <c r="RIS2" s="54"/>
      <c r="RIZ2" s="54"/>
      <c r="RJF2" s="54"/>
      <c r="RJK2" s="54"/>
      <c r="RJR2" s="54"/>
      <c r="RJX2" s="54"/>
      <c r="RKC2" s="54"/>
      <c r="RKJ2" s="54"/>
      <c r="RKP2" s="54"/>
      <c r="RKU2" s="54"/>
      <c r="RLB2" s="54"/>
      <c r="RLH2" s="54"/>
      <c r="RLM2" s="54"/>
      <c r="RLT2" s="54"/>
      <c r="RLZ2" s="54"/>
      <c r="RME2" s="54"/>
      <c r="RML2" s="54"/>
      <c r="RMR2" s="54"/>
      <c r="RMW2" s="54"/>
      <c r="RND2" s="54"/>
      <c r="RNJ2" s="54"/>
      <c r="RNO2" s="54"/>
      <c r="RNV2" s="54"/>
      <c r="ROB2" s="54"/>
      <c r="ROG2" s="54"/>
      <c r="RON2" s="54"/>
      <c r="ROT2" s="54"/>
      <c r="ROY2" s="54"/>
      <c r="RPF2" s="54"/>
      <c r="RPL2" s="54"/>
      <c r="RPQ2" s="54"/>
      <c r="RPX2" s="54"/>
      <c r="RQD2" s="54"/>
      <c r="RQI2" s="54"/>
      <c r="RQP2" s="54"/>
      <c r="RQV2" s="54"/>
      <c r="RRA2" s="54"/>
      <c r="RRH2" s="54"/>
      <c r="RRN2" s="54"/>
      <c r="RRS2" s="54"/>
      <c r="RRZ2" s="54"/>
      <c r="RSF2" s="54"/>
      <c r="RSK2" s="54"/>
      <c r="RSR2" s="54"/>
      <c r="RSX2" s="54"/>
      <c r="RTC2" s="54"/>
      <c r="RTJ2" s="54"/>
      <c r="RTP2" s="54"/>
      <c r="RTU2" s="54"/>
      <c r="RUB2" s="54"/>
      <c r="RUH2" s="54"/>
      <c r="RUM2" s="54"/>
      <c r="RUT2" s="54"/>
      <c r="RUZ2" s="54"/>
      <c r="RVE2" s="54"/>
      <c r="RVL2" s="54"/>
      <c r="RVR2" s="54"/>
      <c r="RVW2" s="54"/>
      <c r="RWD2" s="54"/>
      <c r="RWJ2" s="54"/>
      <c r="RWO2" s="54"/>
      <c r="RWV2" s="54"/>
      <c r="RXB2" s="54"/>
      <c r="RXG2" s="54"/>
      <c r="RXN2" s="54"/>
      <c r="RXT2" s="54"/>
      <c r="RXY2" s="54"/>
      <c r="RYF2" s="54"/>
      <c r="RYL2" s="54"/>
      <c r="RYQ2" s="54"/>
      <c r="RYX2" s="54"/>
      <c r="RZD2" s="54"/>
      <c r="RZI2" s="54"/>
      <c r="RZP2" s="54"/>
      <c r="RZV2" s="54"/>
      <c r="SAA2" s="54"/>
      <c r="SAH2" s="54"/>
      <c r="SAN2" s="54"/>
      <c r="SAS2" s="54"/>
      <c r="SAZ2" s="54"/>
      <c r="SBF2" s="54"/>
      <c r="SBK2" s="54"/>
      <c r="SBR2" s="54"/>
      <c r="SBX2" s="54"/>
      <c r="SCC2" s="54"/>
      <c r="SCJ2" s="54"/>
      <c r="SCP2" s="54"/>
      <c r="SCU2" s="54"/>
      <c r="SDB2" s="54"/>
      <c r="SDH2" s="54"/>
      <c r="SDM2" s="54"/>
      <c r="SDT2" s="54"/>
      <c r="SDZ2" s="54"/>
      <c r="SEE2" s="54"/>
      <c r="SEL2" s="54"/>
      <c r="SER2" s="54"/>
      <c r="SEW2" s="54"/>
      <c r="SFD2" s="54"/>
      <c r="SFJ2" s="54"/>
      <c r="SFO2" s="54"/>
      <c r="SFV2" s="54"/>
      <c r="SGB2" s="54"/>
      <c r="SGG2" s="54"/>
      <c r="SGN2" s="54"/>
      <c r="SGT2" s="54"/>
      <c r="SGY2" s="54"/>
      <c r="SHF2" s="54"/>
      <c r="SHL2" s="54"/>
      <c r="SHQ2" s="54"/>
      <c r="SHX2" s="54"/>
      <c r="SID2" s="54"/>
      <c r="SII2" s="54"/>
      <c r="SIP2" s="54"/>
      <c r="SIV2" s="54"/>
      <c r="SJA2" s="54"/>
      <c r="SJH2" s="54"/>
      <c r="SJN2" s="54"/>
      <c r="SJS2" s="54"/>
      <c r="SJZ2" s="54"/>
      <c r="SKF2" s="54"/>
      <c r="SKK2" s="54"/>
      <c r="SKR2" s="54"/>
      <c r="SKX2" s="54"/>
      <c r="SLC2" s="54"/>
      <c r="SLJ2" s="54"/>
      <c r="SLP2" s="54"/>
      <c r="SLU2" s="54"/>
      <c r="SMB2" s="54"/>
      <c r="SMH2" s="54"/>
      <c r="SMM2" s="54"/>
      <c r="SMT2" s="54"/>
      <c r="SMZ2" s="54"/>
      <c r="SNE2" s="54"/>
      <c r="SNL2" s="54"/>
      <c r="SNR2" s="54"/>
      <c r="SNW2" s="54"/>
      <c r="SOD2" s="54"/>
      <c r="SOJ2" s="54"/>
      <c r="SOO2" s="54"/>
      <c r="SOV2" s="54"/>
      <c r="SPB2" s="54"/>
      <c r="SPG2" s="54"/>
      <c r="SPN2" s="54"/>
      <c r="SPT2" s="54"/>
      <c r="SPY2" s="54"/>
      <c r="SQF2" s="54"/>
      <c r="SQL2" s="54"/>
      <c r="SQQ2" s="54"/>
      <c r="SQX2" s="54"/>
      <c r="SRD2" s="54"/>
      <c r="SRI2" s="54"/>
      <c r="SRP2" s="54"/>
      <c r="SRV2" s="54"/>
      <c r="SSA2" s="54"/>
      <c r="SSH2" s="54"/>
      <c r="SSN2" s="54"/>
      <c r="SSS2" s="54"/>
      <c r="SSZ2" s="54"/>
      <c r="STF2" s="54"/>
      <c r="STK2" s="54"/>
      <c r="STR2" s="54"/>
      <c r="STX2" s="54"/>
      <c r="SUC2" s="54"/>
      <c r="SUJ2" s="54"/>
      <c r="SUP2" s="54"/>
      <c r="SUU2" s="54"/>
      <c r="SVB2" s="54"/>
      <c r="SVH2" s="54"/>
      <c r="SVM2" s="54"/>
      <c r="SVT2" s="54"/>
      <c r="SVZ2" s="54"/>
      <c r="SWE2" s="54"/>
      <c r="SWL2" s="54"/>
      <c r="SWR2" s="54"/>
      <c r="SWW2" s="54"/>
      <c r="SXD2" s="54"/>
      <c r="SXJ2" s="54"/>
      <c r="SXO2" s="54"/>
      <c r="SXV2" s="54"/>
      <c r="SYB2" s="54"/>
      <c r="SYG2" s="54"/>
      <c r="SYN2" s="54"/>
      <c r="SYT2" s="54"/>
      <c r="SYY2" s="54"/>
      <c r="SZF2" s="54"/>
      <c r="SZL2" s="54"/>
      <c r="SZQ2" s="54"/>
      <c r="SZX2" s="54"/>
      <c r="TAD2" s="54"/>
      <c r="TAI2" s="54"/>
      <c r="TAP2" s="54"/>
      <c r="TAV2" s="54"/>
      <c r="TBA2" s="54"/>
      <c r="TBH2" s="54"/>
      <c r="TBN2" s="54"/>
      <c r="TBS2" s="54"/>
      <c r="TBZ2" s="54"/>
      <c r="TCF2" s="54"/>
      <c r="TCK2" s="54"/>
      <c r="TCR2" s="54"/>
      <c r="TCX2" s="54"/>
      <c r="TDC2" s="54"/>
      <c r="TDJ2" s="54"/>
      <c r="TDP2" s="54"/>
      <c r="TDU2" s="54"/>
      <c r="TEB2" s="54"/>
      <c r="TEH2" s="54"/>
      <c r="TEM2" s="54"/>
      <c r="TET2" s="54"/>
      <c r="TEZ2" s="54"/>
      <c r="TFE2" s="54"/>
      <c r="TFL2" s="54"/>
      <c r="TFR2" s="54"/>
      <c r="TFW2" s="54"/>
      <c r="TGD2" s="54"/>
      <c r="TGJ2" s="54"/>
      <c r="TGO2" s="54"/>
      <c r="TGV2" s="54"/>
      <c r="THB2" s="54"/>
      <c r="THG2" s="54"/>
      <c r="THN2" s="54"/>
      <c r="THT2" s="54"/>
      <c r="THY2" s="54"/>
      <c r="TIF2" s="54"/>
      <c r="TIL2" s="54"/>
      <c r="TIQ2" s="54"/>
      <c r="TIX2" s="54"/>
      <c r="TJD2" s="54"/>
      <c r="TJI2" s="54"/>
      <c r="TJP2" s="54"/>
      <c r="TJV2" s="54"/>
      <c r="TKA2" s="54"/>
      <c r="TKH2" s="54"/>
      <c r="TKN2" s="54"/>
      <c r="TKS2" s="54"/>
      <c r="TKZ2" s="54"/>
      <c r="TLF2" s="54"/>
      <c r="TLK2" s="54"/>
      <c r="TLR2" s="54"/>
      <c r="TLX2" s="54"/>
      <c r="TMC2" s="54"/>
      <c r="TMJ2" s="54"/>
      <c r="TMP2" s="54"/>
      <c r="TMU2" s="54"/>
      <c r="TNB2" s="54"/>
      <c r="TNH2" s="54"/>
      <c r="TNM2" s="54"/>
      <c r="TNT2" s="54"/>
      <c r="TNZ2" s="54"/>
      <c r="TOE2" s="54"/>
      <c r="TOL2" s="54"/>
      <c r="TOR2" s="54"/>
      <c r="TOW2" s="54"/>
      <c r="TPD2" s="54"/>
      <c r="TPJ2" s="54"/>
      <c r="TPO2" s="54"/>
      <c r="TPV2" s="54"/>
      <c r="TQB2" s="54"/>
      <c r="TQG2" s="54"/>
      <c r="TQN2" s="54"/>
      <c r="TQT2" s="54"/>
      <c r="TQY2" s="54"/>
      <c r="TRF2" s="54"/>
      <c r="TRL2" s="54"/>
      <c r="TRQ2" s="54"/>
      <c r="TRX2" s="54"/>
      <c r="TSD2" s="54"/>
      <c r="TSI2" s="54"/>
      <c r="TSP2" s="54"/>
      <c r="TSV2" s="54"/>
      <c r="TTA2" s="54"/>
      <c r="TTH2" s="54"/>
      <c r="TTN2" s="54"/>
      <c r="TTS2" s="54"/>
      <c r="TTZ2" s="54"/>
      <c r="TUF2" s="54"/>
      <c r="TUK2" s="54"/>
      <c r="TUR2" s="54"/>
      <c r="TUX2" s="54"/>
      <c r="TVC2" s="54"/>
      <c r="TVJ2" s="54"/>
      <c r="TVP2" s="54"/>
      <c r="TVU2" s="54"/>
      <c r="TWB2" s="54"/>
      <c r="TWH2" s="54"/>
      <c r="TWM2" s="54"/>
      <c r="TWT2" s="54"/>
      <c r="TWZ2" s="54"/>
      <c r="TXE2" s="54"/>
      <c r="TXL2" s="54"/>
      <c r="TXR2" s="54"/>
      <c r="TXW2" s="54"/>
      <c r="TYD2" s="54"/>
      <c r="TYJ2" s="54"/>
      <c r="TYO2" s="54"/>
      <c r="TYV2" s="54"/>
      <c r="TZB2" s="54"/>
      <c r="TZG2" s="54"/>
      <c r="TZN2" s="54"/>
      <c r="TZT2" s="54"/>
      <c r="TZY2" s="54"/>
      <c r="UAF2" s="54"/>
      <c r="UAL2" s="54"/>
      <c r="UAQ2" s="54"/>
      <c r="UAX2" s="54"/>
      <c r="UBD2" s="54"/>
      <c r="UBI2" s="54"/>
      <c r="UBP2" s="54"/>
      <c r="UBV2" s="54"/>
      <c r="UCA2" s="54"/>
      <c r="UCH2" s="54"/>
      <c r="UCN2" s="54"/>
      <c r="UCS2" s="54"/>
      <c r="UCZ2" s="54"/>
      <c r="UDF2" s="54"/>
      <c r="UDK2" s="54"/>
      <c r="UDR2" s="54"/>
      <c r="UDX2" s="54"/>
      <c r="UEC2" s="54"/>
      <c r="UEJ2" s="54"/>
      <c r="UEP2" s="54"/>
      <c r="UEU2" s="54"/>
      <c r="UFB2" s="54"/>
      <c r="UFH2" s="54"/>
      <c r="UFM2" s="54"/>
      <c r="UFT2" s="54"/>
      <c r="UFZ2" s="54"/>
      <c r="UGE2" s="54"/>
      <c r="UGL2" s="54"/>
      <c r="UGR2" s="54"/>
      <c r="UGW2" s="54"/>
      <c r="UHD2" s="54"/>
      <c r="UHJ2" s="54"/>
      <c r="UHO2" s="54"/>
      <c r="UHV2" s="54"/>
      <c r="UIB2" s="54"/>
      <c r="UIG2" s="54"/>
      <c r="UIN2" s="54"/>
      <c r="UIT2" s="54"/>
      <c r="UIY2" s="54"/>
      <c r="UJF2" s="54"/>
      <c r="UJL2" s="54"/>
      <c r="UJQ2" s="54"/>
      <c r="UJX2" s="54"/>
      <c r="UKD2" s="54"/>
      <c r="UKI2" s="54"/>
      <c r="UKP2" s="54"/>
      <c r="UKV2" s="54"/>
      <c r="ULA2" s="54"/>
      <c r="ULH2" s="54"/>
      <c r="ULN2" s="54"/>
      <c r="ULS2" s="54"/>
      <c r="ULZ2" s="54"/>
      <c r="UMF2" s="54"/>
      <c r="UMK2" s="54"/>
      <c r="UMR2" s="54"/>
      <c r="UMX2" s="54"/>
      <c r="UNC2" s="54"/>
      <c r="UNJ2" s="54"/>
      <c r="UNP2" s="54"/>
      <c r="UNU2" s="54"/>
      <c r="UOB2" s="54"/>
      <c r="UOH2" s="54"/>
      <c r="UOM2" s="54"/>
      <c r="UOT2" s="54"/>
      <c r="UOZ2" s="54"/>
      <c r="UPE2" s="54"/>
      <c r="UPL2" s="54"/>
      <c r="UPR2" s="54"/>
      <c r="UPW2" s="54"/>
      <c r="UQD2" s="54"/>
      <c r="UQJ2" s="54"/>
      <c r="UQO2" s="54"/>
      <c r="UQV2" s="54"/>
      <c r="URB2" s="54"/>
      <c r="URG2" s="54"/>
      <c r="URN2" s="54"/>
      <c r="URT2" s="54"/>
      <c r="URY2" s="54"/>
      <c r="USF2" s="54"/>
      <c r="USL2" s="54"/>
      <c r="USQ2" s="54"/>
      <c r="USX2" s="54"/>
      <c r="UTD2" s="54"/>
      <c r="UTI2" s="54"/>
      <c r="UTP2" s="54"/>
      <c r="UTV2" s="54"/>
      <c r="UUA2" s="54"/>
      <c r="UUH2" s="54"/>
      <c r="UUN2" s="54"/>
      <c r="UUS2" s="54"/>
      <c r="UUZ2" s="54"/>
      <c r="UVF2" s="54"/>
      <c r="UVK2" s="54"/>
      <c r="UVR2" s="54"/>
      <c r="UVX2" s="54"/>
      <c r="UWC2" s="54"/>
      <c r="UWJ2" s="54"/>
      <c r="UWP2" s="54"/>
      <c r="UWU2" s="54"/>
      <c r="UXB2" s="54"/>
      <c r="UXH2" s="54"/>
      <c r="UXM2" s="54"/>
      <c r="UXT2" s="54"/>
      <c r="UXZ2" s="54"/>
      <c r="UYE2" s="54"/>
      <c r="UYL2" s="54"/>
      <c r="UYR2" s="54"/>
      <c r="UYW2" s="54"/>
      <c r="UZD2" s="54"/>
      <c r="UZJ2" s="54"/>
      <c r="UZO2" s="54"/>
      <c r="UZV2" s="54"/>
      <c r="VAB2" s="54"/>
      <c r="VAG2" s="54"/>
      <c r="VAN2" s="54"/>
      <c r="VAT2" s="54"/>
      <c r="VAY2" s="54"/>
      <c r="VBF2" s="54"/>
      <c r="VBL2" s="54"/>
      <c r="VBQ2" s="54"/>
      <c r="VBX2" s="54"/>
      <c r="VCD2" s="54"/>
      <c r="VCI2" s="54"/>
      <c r="VCP2" s="54"/>
      <c r="VCV2" s="54"/>
      <c r="VDA2" s="54"/>
      <c r="VDH2" s="54"/>
      <c r="VDN2" s="54"/>
      <c r="VDS2" s="54"/>
      <c r="VDZ2" s="54"/>
      <c r="VEF2" s="54"/>
      <c r="VEK2" s="54"/>
      <c r="VER2" s="54"/>
      <c r="VEX2" s="54"/>
      <c r="VFC2" s="54"/>
      <c r="VFJ2" s="54"/>
      <c r="VFP2" s="54"/>
      <c r="VFU2" s="54"/>
      <c r="VGB2" s="54"/>
      <c r="VGH2" s="54"/>
      <c r="VGM2" s="54"/>
      <c r="VGT2" s="54"/>
      <c r="VGZ2" s="54"/>
      <c r="VHE2" s="54"/>
      <c r="VHL2" s="54"/>
      <c r="VHR2" s="54"/>
      <c r="VHW2" s="54"/>
      <c r="VID2" s="54"/>
      <c r="VIJ2" s="54"/>
      <c r="VIO2" s="54"/>
      <c r="VIV2" s="54"/>
      <c r="VJB2" s="54"/>
      <c r="VJG2" s="54"/>
      <c r="VJN2" s="54"/>
      <c r="VJT2" s="54"/>
      <c r="VJY2" s="54"/>
      <c r="VKF2" s="54"/>
      <c r="VKL2" s="54"/>
      <c r="VKQ2" s="54"/>
      <c r="VKX2" s="54"/>
      <c r="VLD2" s="54"/>
      <c r="VLI2" s="54"/>
      <c r="VLP2" s="54"/>
      <c r="VLV2" s="54"/>
      <c r="VMA2" s="54"/>
      <c r="VMH2" s="54"/>
      <c r="VMN2" s="54"/>
      <c r="VMS2" s="54"/>
      <c r="VMZ2" s="54"/>
      <c r="VNF2" s="54"/>
      <c r="VNK2" s="54"/>
      <c r="VNR2" s="54"/>
      <c r="VNX2" s="54"/>
      <c r="VOC2" s="54"/>
      <c r="VOJ2" s="54"/>
      <c r="VOP2" s="54"/>
      <c r="VOU2" s="54"/>
      <c r="VPB2" s="54"/>
      <c r="VPH2" s="54"/>
      <c r="VPM2" s="54"/>
      <c r="VPT2" s="54"/>
      <c r="VPZ2" s="54"/>
      <c r="VQE2" s="54"/>
      <c r="VQL2" s="54"/>
      <c r="VQR2" s="54"/>
      <c r="VQW2" s="54"/>
      <c r="VRD2" s="54"/>
      <c r="VRJ2" s="54"/>
      <c r="VRO2" s="54"/>
      <c r="VRV2" s="54"/>
      <c r="VSB2" s="54"/>
      <c r="VSG2" s="54"/>
      <c r="VSN2" s="54"/>
      <c r="VST2" s="54"/>
      <c r="VSY2" s="54"/>
      <c r="VTF2" s="54"/>
      <c r="VTL2" s="54"/>
      <c r="VTQ2" s="54"/>
      <c r="VTX2" s="54"/>
      <c r="VUD2" s="54"/>
      <c r="VUI2" s="54"/>
      <c r="VUP2" s="54"/>
      <c r="VUV2" s="54"/>
      <c r="VVA2" s="54"/>
      <c r="VVH2" s="54"/>
      <c r="VVN2" s="54"/>
      <c r="VVS2" s="54"/>
      <c r="VVZ2" s="54"/>
      <c r="VWF2" s="54"/>
      <c r="VWK2" s="54"/>
      <c r="VWR2" s="54"/>
      <c r="VWX2" s="54"/>
      <c r="VXC2" s="54"/>
      <c r="VXJ2" s="54"/>
      <c r="VXP2" s="54"/>
      <c r="VXU2" s="54"/>
      <c r="VYB2" s="54"/>
      <c r="VYH2" s="54"/>
      <c r="VYM2" s="54"/>
      <c r="VYT2" s="54"/>
      <c r="VYZ2" s="54"/>
      <c r="VZE2" s="54"/>
      <c r="VZL2" s="54"/>
      <c r="VZR2" s="54"/>
      <c r="VZW2" s="54"/>
      <c r="WAD2" s="54"/>
      <c r="WAJ2" s="54"/>
      <c r="WAO2" s="54"/>
      <c r="WAV2" s="54"/>
      <c r="WBB2" s="54"/>
      <c r="WBG2" s="54"/>
      <c r="WBN2" s="54"/>
      <c r="WBT2" s="54"/>
      <c r="WBY2" s="54"/>
      <c r="WCF2" s="54"/>
      <c r="WCL2" s="54"/>
      <c r="WCQ2" s="54"/>
      <c r="WCX2" s="54"/>
      <c r="WDD2" s="54"/>
      <c r="WDI2" s="54"/>
      <c r="WDP2" s="54"/>
      <c r="WDV2" s="54"/>
      <c r="WEA2" s="54"/>
      <c r="WEH2" s="54"/>
      <c r="WEN2" s="54"/>
      <c r="WES2" s="54"/>
      <c r="WEZ2" s="54"/>
      <c r="WFF2" s="54"/>
      <c r="WFK2" s="54"/>
      <c r="WFR2" s="54"/>
      <c r="WFX2" s="54"/>
      <c r="WGC2" s="54"/>
      <c r="WGJ2" s="54"/>
      <c r="WGP2" s="54"/>
      <c r="WGU2" s="54"/>
      <c r="WHB2" s="54"/>
      <c r="WHH2" s="54"/>
      <c r="WHM2" s="54"/>
      <c r="WHT2" s="54"/>
      <c r="WHZ2" s="54"/>
      <c r="WIE2" s="54"/>
      <c r="WIL2" s="54"/>
      <c r="WIR2" s="54"/>
      <c r="WIW2" s="54"/>
      <c r="WJD2" s="54"/>
      <c r="WJJ2" s="54"/>
      <c r="WJO2" s="54"/>
      <c r="WJV2" s="54"/>
      <c r="WKB2" s="54"/>
      <c r="WKG2" s="54"/>
      <c r="WKN2" s="54"/>
      <c r="WKT2" s="54"/>
      <c r="WKY2" s="54"/>
      <c r="WLF2" s="54"/>
      <c r="WLL2" s="54"/>
      <c r="WLQ2" s="54"/>
      <c r="WLX2" s="54"/>
      <c r="WMD2" s="54"/>
      <c r="WMI2" s="54"/>
      <c r="WMP2" s="54"/>
      <c r="WMV2" s="54"/>
      <c r="WNA2" s="54"/>
      <c r="WNH2" s="54"/>
      <c r="WNN2" s="54"/>
      <c r="WNS2" s="54"/>
      <c r="WNZ2" s="54"/>
      <c r="WOF2" s="54"/>
      <c r="WOK2" s="54"/>
      <c r="WOR2" s="54"/>
      <c r="WOX2" s="54"/>
      <c r="WPC2" s="54"/>
      <c r="WPJ2" s="54"/>
      <c r="WPP2" s="54"/>
      <c r="WPU2" s="54"/>
      <c r="WQB2" s="54"/>
      <c r="WQH2" s="54"/>
      <c r="WQM2" s="54"/>
      <c r="WQT2" s="54"/>
      <c r="WQZ2" s="54"/>
      <c r="WRE2" s="54"/>
      <c r="WRL2" s="54"/>
      <c r="WRR2" s="54"/>
      <c r="WRW2" s="54"/>
      <c r="WSD2" s="54"/>
      <c r="WSJ2" s="54"/>
      <c r="WSO2" s="54"/>
      <c r="WSV2" s="54"/>
      <c r="WTB2" s="54"/>
      <c r="WTG2" s="54"/>
      <c r="WTN2" s="54"/>
      <c r="WTT2" s="54"/>
      <c r="WTY2" s="54"/>
      <c r="WUF2" s="54"/>
      <c r="WUL2" s="54"/>
      <c r="WUQ2" s="54"/>
      <c r="WUX2" s="54"/>
      <c r="WVD2" s="54"/>
      <c r="WVI2" s="54"/>
      <c r="WVP2" s="54"/>
      <c r="WVV2" s="54"/>
      <c r="WWA2" s="54"/>
      <c r="WWH2" s="54"/>
      <c r="WWN2" s="54"/>
      <c r="WWS2" s="54"/>
      <c r="WWZ2" s="54"/>
      <c r="WXF2" s="54"/>
      <c r="WXK2" s="54"/>
      <c r="WXR2" s="54"/>
      <c r="WXX2" s="54"/>
      <c r="WYC2" s="54"/>
      <c r="WYJ2" s="54"/>
      <c r="WYP2" s="54"/>
      <c r="WYU2" s="54"/>
      <c r="WZB2" s="54"/>
      <c r="WZH2" s="54"/>
      <c r="WZM2" s="54"/>
      <c r="WZT2" s="54"/>
      <c r="WZZ2" s="54"/>
      <c r="XAE2" s="54"/>
      <c r="XAL2" s="54"/>
      <c r="XAR2" s="54"/>
      <c r="XAW2" s="54"/>
      <c r="XBD2" s="54"/>
      <c r="XBJ2" s="54"/>
      <c r="XBO2" s="54"/>
      <c r="XBV2" s="54"/>
      <c r="XCB2" s="54"/>
      <c r="XCG2" s="54"/>
      <c r="XCN2" s="54"/>
      <c r="XCT2" s="54"/>
      <c r="XCY2" s="54"/>
      <c r="XDF2" s="54"/>
      <c r="XDL2" s="54"/>
      <c r="XDQ2" s="54"/>
      <c r="XDX2" s="54"/>
      <c r="XED2" s="54"/>
      <c r="XEI2" s="54"/>
      <c r="XEP2" s="54"/>
      <c r="XEV2" s="54"/>
      <c r="XFA2" s="54"/>
    </row>
    <row r="3" spans="1:1022 1027:2048 2053:3068 3074:4094 4100:5120 5126:6139 6146:7165 7172:8191 8198:9212 9217:10238 10243:11264 11269:12284 12290:13310 13316:14336 14342:15355 15362:16381" ht="60">
      <c r="A3" s="53" t="s">
        <v>18</v>
      </c>
      <c r="B3" s="3" t="s">
        <v>44</v>
      </c>
      <c r="C3" s="9" t="s">
        <v>49</v>
      </c>
      <c r="D3" s="3" t="s">
        <v>50</v>
      </c>
      <c r="E3" s="3" t="s">
        <v>51</v>
      </c>
      <c r="F3" s="53"/>
      <c r="G3" s="53"/>
      <c r="H3" s="53"/>
      <c r="I3" s="54"/>
      <c r="J3" s="53"/>
      <c r="K3" s="53"/>
      <c r="L3" s="53"/>
      <c r="M3" s="53"/>
      <c r="N3" s="54"/>
      <c r="O3" s="53" t="str">
        <f>IF('Review Register'!M2="","",'Review Register'!M2)</f>
        <v/>
      </c>
      <c r="P3" s="53" t="str">
        <f>IF('Review Register'!D2="","",'Review Register'!D2)</f>
        <v/>
      </c>
    </row>
    <row r="4" spans="1:1022 1027:2048 2053:3068 3074:4094 4100:5120 5126:6139 6146:7165 7172:8191 8198:9212 9217:10238 10243:11264 11269:12284 12290:13310 13316:14336 14342:15355 15362:16381" ht="45">
      <c r="A4" s="53" t="s">
        <v>18</v>
      </c>
      <c r="B4" s="3" t="s">
        <v>44</v>
      </c>
      <c r="C4" s="9" t="s">
        <v>53</v>
      </c>
      <c r="D4" s="3" t="s">
        <v>54</v>
      </c>
      <c r="E4" s="3" t="s">
        <v>55</v>
      </c>
      <c r="F4" s="53"/>
      <c r="G4" s="53"/>
      <c r="H4" s="53"/>
      <c r="I4" s="54"/>
      <c r="J4" s="53"/>
      <c r="K4" s="53"/>
      <c r="L4" s="53"/>
      <c r="M4" s="53"/>
      <c r="N4" s="54"/>
      <c r="O4" s="53" t="str">
        <f>IF('Review Register'!M2="","",'Review Register'!M2)</f>
        <v/>
      </c>
      <c r="P4" s="53" t="str">
        <f>IF('Review Register'!D2="","",'Review Register'!D2)</f>
        <v/>
      </c>
    </row>
    <row r="5" spans="1:1022 1027:2048 2053:3068 3074:4094 4100:5120 5126:6139 6146:7165 7172:8191 8198:9212 9217:10238 10243:11264 11269:12284 12290:13310 13316:14336 14342:15355 15362:16381" ht="60">
      <c r="A5" s="53" t="s">
        <v>18</v>
      </c>
      <c r="B5" s="3" t="s">
        <v>57</v>
      </c>
      <c r="C5" s="9" t="s">
        <v>58</v>
      </c>
      <c r="D5" s="3" t="s">
        <v>59</v>
      </c>
      <c r="E5" s="3" t="s">
        <v>60</v>
      </c>
      <c r="F5" s="53"/>
      <c r="G5" s="53"/>
      <c r="H5" s="53"/>
      <c r="I5" s="54"/>
      <c r="J5" s="53"/>
      <c r="K5" s="53"/>
      <c r="L5" s="53"/>
      <c r="M5" s="53"/>
      <c r="N5" s="54"/>
      <c r="O5" s="53" t="str">
        <f>IF('Review Register'!M2="","",'Review Register'!M2)</f>
        <v/>
      </c>
      <c r="P5" s="53" t="str">
        <f>IF('Review Register'!D2="","",'Review Register'!D2)</f>
        <v/>
      </c>
    </row>
    <row r="6" spans="1:1022 1027:2048 2053:3068 3074:4094 4100:5120 5126:6139 6146:7165 7172:8191 8198:9212 9217:10238 10243:11264 11269:12284 12290:13310 13316:14336 14342:15355 15362:16381" ht="60">
      <c r="A6" s="53" t="s">
        <v>18</v>
      </c>
      <c r="B6" s="3" t="s">
        <v>57</v>
      </c>
      <c r="C6" s="9" t="s">
        <v>62</v>
      </c>
      <c r="D6" s="3" t="s">
        <v>63</v>
      </c>
      <c r="E6" s="3" t="s">
        <v>64</v>
      </c>
      <c r="F6" s="53"/>
      <c r="G6" s="53"/>
      <c r="H6" s="53"/>
      <c r="I6" s="54"/>
      <c r="J6" s="53"/>
      <c r="K6" s="53"/>
      <c r="L6" s="53"/>
      <c r="M6" s="53"/>
      <c r="N6" s="54"/>
      <c r="O6" s="53" t="str">
        <f>IF('Review Register'!M2="","",'Review Register'!M2)</f>
        <v/>
      </c>
      <c r="P6" s="53" t="str">
        <f>IF('Review Register'!D2="","",'Review Register'!D2)</f>
        <v/>
      </c>
    </row>
    <row r="7" spans="1:1022 1027:2048 2053:3068 3074:4094 4100:5120 5126:6139 6146:7165 7172:8191 8198:9212 9217:10238 10243:11264 11269:12284 12290:13310 13316:14336 14342:15355 15362:16381" ht="75">
      <c r="A7" s="53" t="s">
        <v>18</v>
      </c>
      <c r="B7" s="3" t="s">
        <v>57</v>
      </c>
      <c r="C7" s="9" t="s">
        <v>66</v>
      </c>
      <c r="D7" s="3" t="s">
        <v>67</v>
      </c>
      <c r="E7" s="3" t="s">
        <v>68</v>
      </c>
      <c r="F7" s="53"/>
      <c r="G7" s="53"/>
      <c r="H7" s="53"/>
      <c r="I7" s="54"/>
      <c r="J7" s="53"/>
      <c r="K7" s="53"/>
      <c r="L7" s="53"/>
      <c r="M7" s="53"/>
      <c r="N7" s="54"/>
      <c r="O7" s="53" t="str">
        <f>IF('Review Register'!M2="","",'Review Register'!M2)</f>
        <v/>
      </c>
      <c r="P7" s="53" t="str">
        <f>IF('Review Register'!D2="","",'Review Register'!D2)</f>
        <v/>
      </c>
    </row>
    <row r="8" spans="1:1022 1027:2048 2053:3068 3074:4094 4100:5120 5126:6139 6146:7165 7172:8191 8198:9212 9217:10238 10243:11264 11269:12284 12290:13310 13316:14336 14342:15355 15362:16381" ht="60">
      <c r="A8" s="53" t="s">
        <v>18</v>
      </c>
      <c r="B8" s="3" t="s">
        <v>70</v>
      </c>
      <c r="C8" s="9" t="s">
        <v>71</v>
      </c>
      <c r="D8" s="3" t="s">
        <v>532</v>
      </c>
      <c r="E8" s="3" t="s">
        <v>576</v>
      </c>
      <c r="F8" s="53"/>
      <c r="G8" s="53"/>
      <c r="H8" s="53"/>
      <c r="I8" s="54"/>
      <c r="J8" s="53"/>
      <c r="K8" s="53"/>
      <c r="L8" s="53"/>
      <c r="M8" s="53"/>
      <c r="N8" s="54"/>
      <c r="O8" s="53" t="str">
        <f>IF('Review Register'!M2="","",'Review Register'!M2)</f>
        <v/>
      </c>
      <c r="P8" s="53" t="str">
        <f>IF('Review Register'!D2="","",'Review Register'!D2)</f>
        <v/>
      </c>
    </row>
    <row r="9" spans="1:1022 1027:2048 2053:3068 3074:4094 4100:5120 5126:6139 6146:7165 7172:8191 8198:9212 9217:10238 10243:11264 11269:12284 12290:13310 13316:14336 14342:15355 15362:16381" ht="60">
      <c r="A9" s="53" t="s">
        <v>18</v>
      </c>
      <c r="B9" s="3" t="s">
        <v>70</v>
      </c>
      <c r="C9" s="9" t="s">
        <v>74</v>
      </c>
      <c r="D9" s="3" t="s">
        <v>533</v>
      </c>
      <c r="E9" s="3" t="s">
        <v>577</v>
      </c>
      <c r="F9" s="53"/>
      <c r="G9" s="53"/>
      <c r="H9" s="53"/>
      <c r="I9" s="54"/>
      <c r="J9" s="53"/>
      <c r="K9" s="53"/>
      <c r="L9" s="53"/>
      <c r="M9" s="53"/>
      <c r="N9" s="54"/>
      <c r="O9" s="53" t="str">
        <f>IF('Review Register'!M2="","",'Review Register'!M2)</f>
        <v/>
      </c>
      <c r="P9" s="53" t="str">
        <f>IF('Review Register'!D2="","",'Review Register'!D2)</f>
        <v/>
      </c>
    </row>
    <row r="10" spans="1:1022 1027:2048 2053:3068 3074:4094 4100:5120 5126:6139 6146:7165 7172:8191 8198:9212 9217:10238 10243:11264 11269:12284 12290:13310 13316:14336 14342:15355 15362:16381" ht="75">
      <c r="A10" s="53" t="s">
        <v>18</v>
      </c>
      <c r="B10" s="3" t="s">
        <v>70</v>
      </c>
      <c r="C10" s="9" t="s">
        <v>78</v>
      </c>
      <c r="D10" s="3" t="s">
        <v>534</v>
      </c>
      <c r="E10" s="3" t="s">
        <v>578</v>
      </c>
      <c r="F10" s="53"/>
      <c r="G10" s="53"/>
      <c r="H10" s="53"/>
      <c r="I10" s="54"/>
      <c r="J10" s="53"/>
      <c r="K10" s="53"/>
      <c r="L10" s="53"/>
      <c r="M10" s="53"/>
      <c r="N10" s="54"/>
      <c r="O10" s="53" t="str">
        <f>IF('Review Register'!M2="","",'Review Register'!M2)</f>
        <v/>
      </c>
      <c r="P10" s="53" t="str">
        <f>IF('Review Register'!D2="","",'Review Register'!D2)</f>
        <v/>
      </c>
    </row>
    <row r="11" spans="1:1022 1027:2048 2053:3068 3074:4094 4100:5120 5126:6139 6146:7165 7172:8191 8198:9212 9217:10238 10243:11264 11269:12284 12290:13310 13316:14336 14342:15355 15362:16381" ht="60">
      <c r="A11" s="53" t="s">
        <v>18</v>
      </c>
      <c r="B11" s="3" t="s">
        <v>82</v>
      </c>
      <c r="C11" s="9" t="s">
        <v>83</v>
      </c>
      <c r="D11" s="3" t="s">
        <v>84</v>
      </c>
      <c r="E11" s="3" t="s">
        <v>579</v>
      </c>
      <c r="F11" s="53"/>
      <c r="G11" s="53"/>
      <c r="H11" s="53"/>
      <c r="I11" s="54"/>
      <c r="J11" s="53"/>
      <c r="K11" s="53"/>
      <c r="L11" s="53"/>
      <c r="M11" s="53"/>
      <c r="N11" s="54"/>
      <c r="O11" s="53" t="str">
        <f>IF('Review Register'!M2="","",'Review Register'!M2)</f>
        <v/>
      </c>
      <c r="P11" s="53" t="str">
        <f>IF('Review Register'!D2="","",'Review Register'!D2)</f>
        <v/>
      </c>
    </row>
    <row r="12" spans="1:1022 1027:2048 2053:3068 3074:4094 4100:5120 5126:6139 6146:7165 7172:8191 8198:9212 9217:10238 10243:11264 11269:12284 12290:13310 13316:14336 14342:15355 15362:16381" ht="60">
      <c r="A12" s="53" t="s">
        <v>18</v>
      </c>
      <c r="B12" s="3" t="s">
        <v>82</v>
      </c>
      <c r="C12" s="9" t="s">
        <v>87</v>
      </c>
      <c r="D12" s="3" t="s">
        <v>88</v>
      </c>
      <c r="E12" s="3" t="s">
        <v>89</v>
      </c>
      <c r="F12" s="53"/>
      <c r="G12" s="53"/>
      <c r="H12" s="53"/>
      <c r="I12" s="54"/>
      <c r="J12" s="53"/>
      <c r="K12" s="53"/>
      <c r="L12" s="53"/>
      <c r="M12" s="53"/>
      <c r="N12" s="54"/>
      <c r="O12" s="53" t="str">
        <f>IF('Review Register'!M2="","",'Review Register'!M2)</f>
        <v/>
      </c>
      <c r="P12" s="53" t="str">
        <f>IF('Review Register'!D2="","",'Review Register'!D2)</f>
        <v/>
      </c>
    </row>
    <row r="13" spans="1:1022 1027:2048 2053:3068 3074:4094 4100:5120 5126:6139 6146:7165 7172:8191 8198:9212 9217:10238 10243:11264 11269:12284 12290:13310 13316:14336 14342:15355 15362:16381" ht="45">
      <c r="A13" s="53" t="s">
        <v>18</v>
      </c>
      <c r="B13" s="3" t="s">
        <v>82</v>
      </c>
      <c r="C13" s="9" t="s">
        <v>91</v>
      </c>
      <c r="D13" s="3" t="s">
        <v>92</v>
      </c>
      <c r="E13" s="3" t="s">
        <v>93</v>
      </c>
      <c r="F13" s="53"/>
      <c r="G13" s="53"/>
      <c r="H13" s="53"/>
      <c r="I13" s="54"/>
      <c r="J13" s="53"/>
      <c r="K13" s="53"/>
      <c r="L13" s="53"/>
      <c r="M13" s="53"/>
      <c r="N13" s="54"/>
      <c r="O13" s="53" t="str">
        <f>IF('Review Register'!M2="","",'Review Register'!M2)</f>
        <v/>
      </c>
      <c r="P13" s="53" t="str">
        <f>IF('Review Register'!D2="","",'Review Register'!D2)</f>
        <v/>
      </c>
    </row>
    <row r="14" spans="1:1022 1027:2048 2053:3068 3074:4094 4100:5120 5126:6139 6146:7165 7172:8191 8198:9212 9217:10238 10243:11264 11269:12284 12290:13310 13316:14336 14342:15355 15362:16381" ht="60">
      <c r="A14" s="53" t="s">
        <v>18</v>
      </c>
      <c r="B14" s="3" t="s">
        <v>95</v>
      </c>
      <c r="C14" s="9" t="s">
        <v>96</v>
      </c>
      <c r="D14" s="3" t="s">
        <v>97</v>
      </c>
      <c r="E14" s="3" t="s">
        <v>580</v>
      </c>
      <c r="F14" s="53"/>
      <c r="G14" s="53"/>
      <c r="H14" s="53"/>
      <c r="I14" s="54"/>
      <c r="J14" s="53"/>
      <c r="K14" s="53"/>
      <c r="L14" s="53"/>
      <c r="M14" s="53"/>
      <c r="N14" s="54"/>
      <c r="O14" s="53" t="str">
        <f>IF('Review Register'!M2="","",'Review Register'!M2)</f>
        <v/>
      </c>
      <c r="P14" s="53" t="str">
        <f>IF('Review Register'!D2="","",'Review Register'!D2)</f>
        <v/>
      </c>
    </row>
    <row r="15" spans="1:1022 1027:2048 2053:3068 3074:4094 4100:5120 5126:6139 6146:7165 7172:8191 8198:9212 9217:10238 10243:11264 11269:12284 12290:13310 13316:14336 14342:15355 15362:16381" ht="60">
      <c r="A15" s="53" t="s">
        <v>18</v>
      </c>
      <c r="B15" s="3" t="s">
        <v>95</v>
      </c>
      <c r="C15" s="9" t="s">
        <v>100</v>
      </c>
      <c r="D15" s="3" t="s">
        <v>101</v>
      </c>
      <c r="E15" s="3" t="s">
        <v>102</v>
      </c>
      <c r="F15" s="53"/>
      <c r="G15" s="53"/>
      <c r="H15" s="53"/>
      <c r="I15" s="54"/>
      <c r="J15" s="53"/>
      <c r="K15" s="53"/>
      <c r="L15" s="53"/>
      <c r="M15" s="53"/>
      <c r="N15" s="54"/>
      <c r="O15" s="53" t="str">
        <f>IF('Review Register'!M2="","",'Review Register'!M2)</f>
        <v/>
      </c>
      <c r="P15" s="53" t="str">
        <f>IF('Review Register'!D2="","",'Review Register'!D2)</f>
        <v/>
      </c>
    </row>
    <row r="16" spans="1:1022 1027:2048 2053:3068 3074:4094 4100:5120 5126:6139 6146:7165 7172:8191 8198:9212 9217:10238 10243:11264 11269:12284 12290:13310 13316:14336 14342:15355 15362:16381" ht="45">
      <c r="A16" s="53" t="s">
        <v>18</v>
      </c>
      <c r="B16" s="3" t="s">
        <v>95</v>
      </c>
      <c r="C16" s="9" t="s">
        <v>104</v>
      </c>
      <c r="D16" s="3" t="s">
        <v>105</v>
      </c>
      <c r="E16" s="3" t="s">
        <v>106</v>
      </c>
      <c r="F16" s="53"/>
      <c r="G16" s="53"/>
      <c r="H16" s="53"/>
      <c r="I16" s="54"/>
      <c r="J16" s="53"/>
      <c r="K16" s="53"/>
      <c r="L16" s="53"/>
      <c r="M16" s="53"/>
      <c r="N16" s="54"/>
      <c r="O16" s="53" t="str">
        <f>IF('Review Register'!M2="","",'Review Register'!M2)</f>
        <v/>
      </c>
      <c r="P16" s="53" t="str">
        <f>IF('Review Register'!D2="","",'Review Register'!D2)</f>
        <v/>
      </c>
    </row>
    <row r="17" spans="1:16" ht="45">
      <c r="A17" s="53" t="s">
        <v>18</v>
      </c>
      <c r="B17" s="3" t="s">
        <v>108</v>
      </c>
      <c r="C17" s="9" t="s">
        <v>109</v>
      </c>
      <c r="D17" s="3" t="s">
        <v>110</v>
      </c>
      <c r="E17" s="3" t="s">
        <v>111</v>
      </c>
      <c r="F17" s="53"/>
      <c r="G17" s="53"/>
      <c r="H17" s="53"/>
      <c r="I17" s="54"/>
      <c r="J17" s="53"/>
      <c r="K17" s="53"/>
      <c r="L17" s="53"/>
      <c r="M17" s="53"/>
      <c r="N17" s="54"/>
      <c r="O17" s="53" t="str">
        <f>IF('Review Register'!M2="","",'Review Register'!M2)</f>
        <v/>
      </c>
      <c r="P17" s="53" t="str">
        <f>IF('Review Register'!D2="","",'Review Register'!D2)</f>
        <v/>
      </c>
    </row>
    <row r="18" spans="1:16" ht="60">
      <c r="A18" s="53" t="s">
        <v>18</v>
      </c>
      <c r="B18" s="3" t="s">
        <v>108</v>
      </c>
      <c r="C18" s="9" t="s">
        <v>113</v>
      </c>
      <c r="D18" s="3" t="s">
        <v>114</v>
      </c>
      <c r="E18" s="3" t="s">
        <v>115</v>
      </c>
      <c r="F18" s="53"/>
      <c r="G18" s="53"/>
      <c r="H18" s="53"/>
      <c r="I18" s="54"/>
      <c r="J18" s="53"/>
      <c r="K18" s="53"/>
      <c r="L18" s="53"/>
      <c r="M18" s="53"/>
      <c r="N18" s="54"/>
      <c r="O18" s="53" t="str">
        <f>IF('Review Register'!M2="","",'Review Register'!M2)</f>
        <v/>
      </c>
      <c r="P18" s="53" t="str">
        <f>IF('Review Register'!D2="","",'Review Register'!D2)</f>
        <v/>
      </c>
    </row>
    <row r="19" spans="1:16" ht="45">
      <c r="A19" s="53" t="s">
        <v>18</v>
      </c>
      <c r="B19" s="3" t="s">
        <v>108</v>
      </c>
      <c r="C19" s="9" t="s">
        <v>117</v>
      </c>
      <c r="D19" s="3" t="s">
        <v>118</v>
      </c>
      <c r="E19" s="3" t="s">
        <v>119</v>
      </c>
      <c r="F19" s="53"/>
      <c r="G19" s="53"/>
      <c r="H19" s="53"/>
      <c r="I19" s="54"/>
      <c r="J19" s="53"/>
      <c r="K19" s="53"/>
      <c r="L19" s="53"/>
      <c r="M19" s="53"/>
      <c r="N19" s="54"/>
      <c r="O19" s="53" t="str">
        <f>IF('Review Register'!M2="","",'Review Register'!M2)</f>
        <v/>
      </c>
      <c r="P19" s="53" t="str">
        <f>IF('Review Register'!D2="","",'Review Register'!D2)</f>
        <v/>
      </c>
    </row>
    <row r="20" spans="1:16" ht="45">
      <c r="A20" s="53" t="s">
        <v>18</v>
      </c>
      <c r="B20" s="3" t="s">
        <v>121</v>
      </c>
      <c r="C20" s="9" t="s">
        <v>122</v>
      </c>
      <c r="D20" s="3" t="s">
        <v>123</v>
      </c>
      <c r="E20" s="3" t="s">
        <v>124</v>
      </c>
      <c r="F20" s="53"/>
      <c r="G20" s="53"/>
      <c r="H20" s="53"/>
      <c r="I20" s="54"/>
      <c r="J20" s="53"/>
      <c r="K20" s="53"/>
      <c r="L20" s="53"/>
      <c r="M20" s="53"/>
      <c r="N20" s="54"/>
      <c r="O20" s="53" t="str">
        <f>IF('Review Register'!M2="","",'Review Register'!M2)</f>
        <v/>
      </c>
      <c r="P20" s="53" t="str">
        <f>IF('Review Register'!D2="","",'Review Register'!D2)</f>
        <v/>
      </c>
    </row>
    <row r="21" spans="1:16" ht="60">
      <c r="A21" s="53" t="s">
        <v>18</v>
      </c>
      <c r="B21" s="3" t="s">
        <v>121</v>
      </c>
      <c r="C21" s="9" t="s">
        <v>126</v>
      </c>
      <c r="D21" s="3" t="s">
        <v>127</v>
      </c>
      <c r="E21" s="3" t="s">
        <v>128</v>
      </c>
      <c r="F21" s="53"/>
      <c r="G21" s="53"/>
      <c r="H21" s="53"/>
      <c r="I21" s="54"/>
      <c r="J21" s="53"/>
      <c r="K21" s="53"/>
      <c r="L21" s="53"/>
      <c r="M21" s="53"/>
      <c r="N21" s="54"/>
      <c r="O21" s="53" t="str">
        <f>IF('Review Register'!M2="","",'Review Register'!M2)</f>
        <v/>
      </c>
      <c r="P21" s="53" t="str">
        <f>IF('Review Register'!D2="","",'Review Register'!D2)</f>
        <v/>
      </c>
    </row>
    <row r="22" spans="1:16" ht="75">
      <c r="A22" s="53" t="s">
        <v>18</v>
      </c>
      <c r="B22" s="3" t="s">
        <v>121</v>
      </c>
      <c r="C22" s="9" t="s">
        <v>130</v>
      </c>
      <c r="D22" s="3" t="s">
        <v>131</v>
      </c>
      <c r="E22" s="3" t="s">
        <v>132</v>
      </c>
      <c r="F22" s="53"/>
      <c r="G22" s="53"/>
      <c r="H22" s="53"/>
      <c r="I22" s="54"/>
      <c r="J22" s="53"/>
      <c r="K22" s="53"/>
      <c r="L22" s="53"/>
      <c r="M22" s="53"/>
      <c r="N22" s="54"/>
      <c r="O22" s="53" t="str">
        <f>IF('Review Register'!M2="","",'Review Register'!M2)</f>
        <v/>
      </c>
      <c r="P22" s="53" t="str">
        <f>IF('Review Register'!D2="","",'Review Register'!D2)</f>
        <v/>
      </c>
    </row>
    <row r="23" spans="1:16" ht="45">
      <c r="A23" s="53" t="s">
        <v>22</v>
      </c>
      <c r="B23" s="3" t="s">
        <v>44</v>
      </c>
      <c r="C23" s="9" t="s">
        <v>45</v>
      </c>
      <c r="D23" s="3" t="s">
        <v>46</v>
      </c>
      <c r="E23" s="3" t="s">
        <v>47</v>
      </c>
      <c r="F23" s="53"/>
      <c r="G23" s="53"/>
      <c r="H23" s="53"/>
      <c r="I23" s="54"/>
      <c r="J23" s="53"/>
      <c r="K23" s="53"/>
      <c r="L23" s="53"/>
      <c r="M23" s="53"/>
      <c r="N23" s="54"/>
      <c r="O23" s="53" t="str">
        <f>IF('Review Register'!M3="","",'Review Register'!M3)</f>
        <v/>
      </c>
      <c r="P23" s="53" t="str">
        <f>IF('Review Register'!D3="","",'Review Register'!D3)</f>
        <v/>
      </c>
    </row>
    <row r="24" spans="1:16" ht="60">
      <c r="A24" s="53" t="s">
        <v>22</v>
      </c>
      <c r="B24" s="3" t="s">
        <v>44</v>
      </c>
      <c r="C24" s="9" t="s">
        <v>49</v>
      </c>
      <c r="D24" s="3" t="s">
        <v>50</v>
      </c>
      <c r="E24" s="3" t="s">
        <v>51</v>
      </c>
      <c r="F24" s="53"/>
      <c r="G24" s="53"/>
      <c r="H24" s="53"/>
      <c r="I24" s="54"/>
      <c r="J24" s="53"/>
      <c r="K24" s="53"/>
      <c r="L24" s="53"/>
      <c r="M24" s="53"/>
      <c r="N24" s="54"/>
      <c r="O24" s="53" t="str">
        <f>IF('Review Register'!M3="","",'Review Register'!M3)</f>
        <v/>
      </c>
      <c r="P24" s="53" t="str">
        <f>IF('Review Register'!D3="","",'Review Register'!D3)</f>
        <v/>
      </c>
    </row>
    <row r="25" spans="1:16" ht="45">
      <c r="A25" s="53" t="s">
        <v>22</v>
      </c>
      <c r="B25" s="3" t="s">
        <v>44</v>
      </c>
      <c r="C25" s="9" t="s">
        <v>53</v>
      </c>
      <c r="D25" s="3" t="s">
        <v>54</v>
      </c>
      <c r="E25" s="3" t="s">
        <v>55</v>
      </c>
      <c r="F25" s="53"/>
      <c r="G25" s="53"/>
      <c r="H25" s="53"/>
      <c r="I25" s="54"/>
      <c r="J25" s="53"/>
      <c r="K25" s="53"/>
      <c r="L25" s="53"/>
      <c r="M25" s="53"/>
      <c r="N25" s="54"/>
      <c r="O25" s="53" t="str">
        <f>IF('Review Register'!M3="","",'Review Register'!M3)</f>
        <v/>
      </c>
      <c r="P25" s="53" t="str">
        <f>IF('Review Register'!D3="","",'Review Register'!D3)</f>
        <v/>
      </c>
    </row>
    <row r="26" spans="1:16" ht="60">
      <c r="A26" s="53" t="s">
        <v>22</v>
      </c>
      <c r="B26" s="3" t="s">
        <v>57</v>
      </c>
      <c r="C26" s="9" t="s">
        <v>58</v>
      </c>
      <c r="D26" s="3" t="s">
        <v>59</v>
      </c>
      <c r="E26" s="3" t="s">
        <v>60</v>
      </c>
      <c r="F26" s="53"/>
      <c r="G26" s="53"/>
      <c r="H26" s="53"/>
      <c r="I26" s="54"/>
      <c r="J26" s="53"/>
      <c r="K26" s="53"/>
      <c r="L26" s="53"/>
      <c r="M26" s="53"/>
      <c r="N26" s="54"/>
      <c r="O26" s="53" t="str">
        <f>IF('Review Register'!M3="","",'Review Register'!M3)</f>
        <v/>
      </c>
      <c r="P26" s="53" t="str">
        <f>IF('Review Register'!D3="","",'Review Register'!D3)</f>
        <v/>
      </c>
    </row>
    <row r="27" spans="1:16" ht="60">
      <c r="A27" s="53" t="s">
        <v>22</v>
      </c>
      <c r="B27" s="3" t="s">
        <v>57</v>
      </c>
      <c r="C27" s="9" t="s">
        <v>62</v>
      </c>
      <c r="D27" s="3" t="s">
        <v>63</v>
      </c>
      <c r="E27" s="3" t="s">
        <v>64</v>
      </c>
      <c r="F27" s="53"/>
      <c r="G27" s="53"/>
      <c r="H27" s="53"/>
      <c r="I27" s="54"/>
      <c r="J27" s="53"/>
      <c r="K27" s="53"/>
      <c r="L27" s="53"/>
      <c r="M27" s="53"/>
      <c r="N27" s="54"/>
      <c r="O27" s="53" t="str">
        <f>IF('Review Register'!M3="","",'Review Register'!M3)</f>
        <v/>
      </c>
      <c r="P27" s="53" t="str">
        <f>IF('Review Register'!D3="","",'Review Register'!D3)</f>
        <v/>
      </c>
    </row>
    <row r="28" spans="1:16" ht="75">
      <c r="A28" s="53" t="s">
        <v>22</v>
      </c>
      <c r="B28" s="3" t="s">
        <v>57</v>
      </c>
      <c r="C28" s="9" t="s">
        <v>66</v>
      </c>
      <c r="D28" s="3" t="s">
        <v>67</v>
      </c>
      <c r="E28" s="3" t="s">
        <v>68</v>
      </c>
      <c r="F28" s="53"/>
      <c r="G28" s="53"/>
      <c r="H28" s="53"/>
      <c r="I28" s="54"/>
      <c r="J28" s="53"/>
      <c r="K28" s="53"/>
      <c r="L28" s="53"/>
      <c r="M28" s="53"/>
      <c r="N28" s="54"/>
      <c r="O28" s="53" t="str">
        <f>IF('Review Register'!M3="","",'Review Register'!M3)</f>
        <v/>
      </c>
      <c r="P28" s="53" t="str">
        <f>IF('Review Register'!D3="","",'Review Register'!D3)</f>
        <v/>
      </c>
    </row>
    <row r="29" spans="1:16" ht="60">
      <c r="A29" s="53" t="s">
        <v>22</v>
      </c>
      <c r="B29" s="3" t="s">
        <v>70</v>
      </c>
      <c r="C29" s="9" t="s">
        <v>71</v>
      </c>
      <c r="D29" s="3" t="s">
        <v>532</v>
      </c>
      <c r="E29" s="3" t="s">
        <v>576</v>
      </c>
      <c r="F29" s="53"/>
      <c r="G29" s="53"/>
      <c r="H29" s="53"/>
      <c r="I29" s="54"/>
      <c r="J29" s="53"/>
      <c r="K29" s="53"/>
      <c r="L29" s="53"/>
      <c r="M29" s="53"/>
      <c r="N29" s="54"/>
      <c r="O29" s="53" t="str">
        <f>IF('Review Register'!M3="","",'Review Register'!M3)</f>
        <v/>
      </c>
      <c r="P29" s="53" t="str">
        <f>IF('Review Register'!D3="","",'Review Register'!D3)</f>
        <v/>
      </c>
    </row>
    <row r="30" spans="1:16" ht="60">
      <c r="A30" s="53" t="s">
        <v>22</v>
      </c>
      <c r="B30" s="3" t="s">
        <v>70</v>
      </c>
      <c r="C30" s="9" t="s">
        <v>74</v>
      </c>
      <c r="D30" s="3" t="s">
        <v>533</v>
      </c>
      <c r="E30" s="3" t="s">
        <v>577</v>
      </c>
      <c r="F30" s="53"/>
      <c r="G30" s="53"/>
      <c r="H30" s="53"/>
      <c r="I30" s="54"/>
      <c r="J30" s="53"/>
      <c r="K30" s="53"/>
      <c r="L30" s="53"/>
      <c r="M30" s="53"/>
      <c r="N30" s="54"/>
      <c r="O30" s="53" t="str">
        <f>IF('Review Register'!M3="","",'Review Register'!M3)</f>
        <v/>
      </c>
      <c r="P30" s="53" t="str">
        <f>IF('Review Register'!D3="","",'Review Register'!D3)</f>
        <v/>
      </c>
    </row>
    <row r="31" spans="1:16" ht="75">
      <c r="A31" s="53" t="s">
        <v>22</v>
      </c>
      <c r="B31" s="3" t="s">
        <v>70</v>
      </c>
      <c r="C31" s="9" t="s">
        <v>78</v>
      </c>
      <c r="D31" s="3" t="s">
        <v>534</v>
      </c>
      <c r="E31" s="3" t="s">
        <v>578</v>
      </c>
      <c r="F31" s="53"/>
      <c r="G31" s="53"/>
      <c r="H31" s="53"/>
      <c r="I31" s="54"/>
      <c r="J31" s="53"/>
      <c r="K31" s="53"/>
      <c r="L31" s="53"/>
      <c r="M31" s="53"/>
      <c r="N31" s="54"/>
      <c r="O31" s="53" t="str">
        <f>IF('Review Register'!M3="","",'Review Register'!M3)</f>
        <v/>
      </c>
      <c r="P31" s="53" t="str">
        <f>IF('Review Register'!D3="","",'Review Register'!D3)</f>
        <v/>
      </c>
    </row>
    <row r="32" spans="1:16" ht="60">
      <c r="A32" s="53" t="s">
        <v>22</v>
      </c>
      <c r="B32" s="3" t="s">
        <v>82</v>
      </c>
      <c r="C32" s="9" t="s">
        <v>83</v>
      </c>
      <c r="D32" s="3" t="s">
        <v>84</v>
      </c>
      <c r="E32" s="3" t="s">
        <v>579</v>
      </c>
      <c r="F32" s="53"/>
      <c r="G32" s="53"/>
      <c r="H32" s="53"/>
      <c r="I32" s="54"/>
      <c r="J32" s="53"/>
      <c r="K32" s="53"/>
      <c r="L32" s="53"/>
      <c r="M32" s="53"/>
      <c r="N32" s="54"/>
      <c r="O32" s="53" t="str">
        <f>IF('Review Register'!M3="","",'Review Register'!M3)</f>
        <v/>
      </c>
      <c r="P32" s="53" t="str">
        <f>IF('Review Register'!D3="","",'Review Register'!D3)</f>
        <v/>
      </c>
    </row>
    <row r="33" spans="1:16" ht="60">
      <c r="A33" s="53" t="s">
        <v>22</v>
      </c>
      <c r="B33" s="3" t="s">
        <v>82</v>
      </c>
      <c r="C33" s="9" t="s">
        <v>87</v>
      </c>
      <c r="D33" s="3" t="s">
        <v>88</v>
      </c>
      <c r="E33" s="3" t="s">
        <v>89</v>
      </c>
      <c r="F33" s="53"/>
      <c r="G33" s="53"/>
      <c r="H33" s="53"/>
      <c r="I33" s="54"/>
      <c r="J33" s="53"/>
      <c r="K33" s="53"/>
      <c r="L33" s="53"/>
      <c r="M33" s="53"/>
      <c r="N33" s="54"/>
      <c r="O33" s="53" t="str">
        <f>IF('Review Register'!M3="","",'Review Register'!M3)</f>
        <v/>
      </c>
      <c r="P33" s="53" t="str">
        <f>IF('Review Register'!D3="","",'Review Register'!D3)</f>
        <v/>
      </c>
    </row>
    <row r="34" spans="1:16" ht="45">
      <c r="A34" s="53" t="s">
        <v>22</v>
      </c>
      <c r="B34" s="3" t="s">
        <v>82</v>
      </c>
      <c r="C34" s="9" t="s">
        <v>91</v>
      </c>
      <c r="D34" s="3" t="s">
        <v>92</v>
      </c>
      <c r="E34" s="3" t="s">
        <v>93</v>
      </c>
      <c r="F34" s="53"/>
      <c r="G34" s="53"/>
      <c r="H34" s="53"/>
      <c r="I34" s="54"/>
      <c r="J34" s="53"/>
      <c r="K34" s="53"/>
      <c r="L34" s="53"/>
      <c r="M34" s="53"/>
      <c r="N34" s="54"/>
      <c r="O34" s="53" t="str">
        <f>IF('Review Register'!M3="","",'Review Register'!M3)</f>
        <v/>
      </c>
      <c r="P34" s="53" t="str">
        <f>IF('Review Register'!D3="","",'Review Register'!D3)</f>
        <v/>
      </c>
    </row>
    <row r="35" spans="1:16" ht="60">
      <c r="A35" s="53" t="s">
        <v>22</v>
      </c>
      <c r="B35" s="3" t="s">
        <v>95</v>
      </c>
      <c r="C35" s="9" t="s">
        <v>96</v>
      </c>
      <c r="D35" s="3" t="s">
        <v>97</v>
      </c>
      <c r="E35" s="3" t="s">
        <v>580</v>
      </c>
      <c r="F35" s="53"/>
      <c r="G35" s="53"/>
      <c r="H35" s="53"/>
      <c r="I35" s="54"/>
      <c r="J35" s="53"/>
      <c r="K35" s="53"/>
      <c r="L35" s="53"/>
      <c r="M35" s="53"/>
      <c r="N35" s="54"/>
      <c r="O35" s="53" t="str">
        <f>IF('Review Register'!M3="","",'Review Register'!M3)</f>
        <v/>
      </c>
      <c r="P35" s="53" t="str">
        <f>IF('Review Register'!D3="","",'Review Register'!D3)</f>
        <v/>
      </c>
    </row>
    <row r="36" spans="1:16" ht="60">
      <c r="A36" s="53" t="s">
        <v>22</v>
      </c>
      <c r="B36" s="3" t="s">
        <v>95</v>
      </c>
      <c r="C36" s="9" t="s">
        <v>100</v>
      </c>
      <c r="D36" s="3" t="s">
        <v>101</v>
      </c>
      <c r="E36" s="3" t="s">
        <v>102</v>
      </c>
      <c r="F36" s="53"/>
      <c r="G36" s="53"/>
      <c r="H36" s="53"/>
      <c r="I36" s="54"/>
      <c r="J36" s="53"/>
      <c r="K36" s="53"/>
      <c r="L36" s="53"/>
      <c r="M36" s="53"/>
      <c r="N36" s="54"/>
      <c r="O36" s="53" t="str">
        <f>IF('Review Register'!M3="","",'Review Register'!M3)</f>
        <v/>
      </c>
      <c r="P36" s="53" t="str">
        <f>IF('Review Register'!D3="","",'Review Register'!D3)</f>
        <v/>
      </c>
    </row>
    <row r="37" spans="1:16" ht="45">
      <c r="A37" s="53" t="s">
        <v>22</v>
      </c>
      <c r="B37" s="3" t="s">
        <v>95</v>
      </c>
      <c r="C37" s="9" t="s">
        <v>104</v>
      </c>
      <c r="D37" s="3" t="s">
        <v>105</v>
      </c>
      <c r="E37" s="3" t="s">
        <v>106</v>
      </c>
      <c r="F37" s="53"/>
      <c r="G37" s="53"/>
      <c r="H37" s="53"/>
      <c r="I37" s="54"/>
      <c r="J37" s="53"/>
      <c r="K37" s="53"/>
      <c r="L37" s="53"/>
      <c r="M37" s="53"/>
      <c r="N37" s="54"/>
      <c r="O37" s="53" t="str">
        <f>IF('Review Register'!M3="","",'Review Register'!M3)</f>
        <v/>
      </c>
      <c r="P37" s="53" t="str">
        <f>IF('Review Register'!D3="","",'Review Register'!D3)</f>
        <v/>
      </c>
    </row>
    <row r="38" spans="1:16" ht="45">
      <c r="A38" s="53" t="s">
        <v>22</v>
      </c>
      <c r="B38" s="3" t="s">
        <v>108</v>
      </c>
      <c r="C38" s="9" t="s">
        <v>109</v>
      </c>
      <c r="D38" s="3" t="s">
        <v>110</v>
      </c>
      <c r="E38" s="3" t="s">
        <v>111</v>
      </c>
      <c r="F38" s="53"/>
      <c r="G38" s="53"/>
      <c r="H38" s="53"/>
      <c r="I38" s="54"/>
      <c r="J38" s="53"/>
      <c r="K38" s="53"/>
      <c r="L38" s="53"/>
      <c r="M38" s="53"/>
      <c r="N38" s="54"/>
      <c r="O38" s="53" t="str">
        <f>IF('Review Register'!M3="","",'Review Register'!M3)</f>
        <v/>
      </c>
      <c r="P38" s="53" t="str">
        <f>IF('Review Register'!D3="","",'Review Register'!D3)</f>
        <v/>
      </c>
    </row>
    <row r="39" spans="1:16" ht="60">
      <c r="A39" s="53" t="s">
        <v>22</v>
      </c>
      <c r="B39" s="3" t="s">
        <v>108</v>
      </c>
      <c r="C39" s="9" t="s">
        <v>113</v>
      </c>
      <c r="D39" s="3" t="s">
        <v>114</v>
      </c>
      <c r="E39" s="3" t="s">
        <v>115</v>
      </c>
      <c r="F39" s="53"/>
      <c r="G39" s="53"/>
      <c r="H39" s="53"/>
      <c r="I39" s="54"/>
      <c r="J39" s="53"/>
      <c r="K39" s="53"/>
      <c r="L39" s="53"/>
      <c r="M39" s="53"/>
      <c r="N39" s="54"/>
      <c r="O39" s="53" t="str">
        <f>IF('Review Register'!M3="","",'Review Register'!M3)</f>
        <v/>
      </c>
      <c r="P39" s="53" t="str">
        <f>IF('Review Register'!D3="","",'Review Register'!D3)</f>
        <v/>
      </c>
    </row>
    <row r="40" spans="1:16" ht="45">
      <c r="A40" s="53" t="s">
        <v>22</v>
      </c>
      <c r="B40" s="3" t="s">
        <v>108</v>
      </c>
      <c r="C40" s="9" t="s">
        <v>117</v>
      </c>
      <c r="D40" s="3" t="s">
        <v>118</v>
      </c>
      <c r="E40" s="3" t="s">
        <v>119</v>
      </c>
      <c r="F40" s="53"/>
      <c r="G40" s="53"/>
      <c r="H40" s="53"/>
      <c r="I40" s="54"/>
      <c r="J40" s="53"/>
      <c r="K40" s="53"/>
      <c r="L40" s="53"/>
      <c r="M40" s="53"/>
      <c r="N40" s="54"/>
      <c r="O40" s="53" t="str">
        <f>IF('Review Register'!M3="","",'Review Register'!M3)</f>
        <v/>
      </c>
      <c r="P40" s="53" t="str">
        <f>IF('Review Register'!D3="","",'Review Register'!D3)</f>
        <v/>
      </c>
    </row>
    <row r="41" spans="1:16" ht="45">
      <c r="A41" s="53" t="s">
        <v>22</v>
      </c>
      <c r="B41" s="3" t="s">
        <v>121</v>
      </c>
      <c r="C41" s="9" t="s">
        <v>122</v>
      </c>
      <c r="D41" s="3" t="s">
        <v>123</v>
      </c>
      <c r="E41" s="3" t="s">
        <v>124</v>
      </c>
      <c r="F41" s="53"/>
      <c r="G41" s="53"/>
      <c r="H41" s="53"/>
      <c r="I41" s="54"/>
      <c r="J41" s="53"/>
      <c r="K41" s="53"/>
      <c r="L41" s="53"/>
      <c r="M41" s="53"/>
      <c r="N41" s="54"/>
      <c r="O41" s="53" t="str">
        <f>IF('Review Register'!M3="","",'Review Register'!M3)</f>
        <v/>
      </c>
      <c r="P41" s="53" t="str">
        <f>IF('Review Register'!D3="","",'Review Register'!D3)</f>
        <v/>
      </c>
    </row>
    <row r="42" spans="1:16" ht="60">
      <c r="A42" s="53" t="s">
        <v>22</v>
      </c>
      <c r="B42" s="3" t="s">
        <v>121</v>
      </c>
      <c r="C42" s="9" t="s">
        <v>126</v>
      </c>
      <c r="D42" s="3" t="s">
        <v>127</v>
      </c>
      <c r="E42" s="3" t="s">
        <v>128</v>
      </c>
      <c r="F42" s="53"/>
      <c r="G42" s="53"/>
      <c r="H42" s="53"/>
      <c r="I42" s="54"/>
      <c r="J42" s="53"/>
      <c r="K42" s="53"/>
      <c r="L42" s="53"/>
      <c r="M42" s="53"/>
      <c r="N42" s="54"/>
      <c r="O42" s="53" t="str">
        <f>IF('Review Register'!M3="","",'Review Register'!M3)</f>
        <v/>
      </c>
      <c r="P42" s="53" t="str">
        <f>IF('Review Register'!D3="","",'Review Register'!D3)</f>
        <v/>
      </c>
    </row>
    <row r="43" spans="1:16" ht="75">
      <c r="A43" s="53" t="s">
        <v>22</v>
      </c>
      <c r="B43" s="3" t="s">
        <v>121</v>
      </c>
      <c r="C43" s="9" t="s">
        <v>130</v>
      </c>
      <c r="D43" s="3" t="s">
        <v>131</v>
      </c>
      <c r="E43" s="3" t="s">
        <v>132</v>
      </c>
      <c r="F43" s="53"/>
      <c r="G43" s="53"/>
      <c r="H43" s="53"/>
      <c r="I43" s="54"/>
      <c r="J43" s="53"/>
      <c r="K43" s="53"/>
      <c r="L43" s="53"/>
      <c r="M43" s="53"/>
      <c r="N43" s="54"/>
      <c r="O43" s="53" t="str">
        <f>IF('Review Register'!M3="","",'Review Register'!M3)</f>
        <v/>
      </c>
      <c r="P43" s="53" t="str">
        <f>IF('Review Register'!D3="","",'Review Register'!D3)</f>
        <v/>
      </c>
    </row>
    <row r="44" spans="1:16" ht="45">
      <c r="A44" s="53" t="s">
        <v>24</v>
      </c>
      <c r="B44" s="3" t="s">
        <v>44</v>
      </c>
      <c r="C44" s="9" t="s">
        <v>45</v>
      </c>
      <c r="D44" s="3" t="s">
        <v>46</v>
      </c>
      <c r="E44" s="3" t="s">
        <v>47</v>
      </c>
      <c r="F44" s="53"/>
      <c r="G44" s="53"/>
      <c r="H44" s="53"/>
      <c r="I44" s="54"/>
      <c r="J44" s="53"/>
      <c r="K44" s="53"/>
      <c r="L44" s="53"/>
      <c r="M44" s="53"/>
      <c r="N44" s="54"/>
      <c r="O44" s="53" t="str">
        <f>IF('Review Register'!M4="","",'Review Register'!M4)</f>
        <v/>
      </c>
      <c r="P44" s="53" t="str">
        <f>IF('Review Register'!D4="","",'Review Register'!D4)</f>
        <v/>
      </c>
    </row>
    <row r="45" spans="1:16" ht="60">
      <c r="A45" s="53" t="s">
        <v>24</v>
      </c>
      <c r="B45" s="3" t="s">
        <v>44</v>
      </c>
      <c r="C45" s="9" t="s">
        <v>49</v>
      </c>
      <c r="D45" s="3" t="s">
        <v>50</v>
      </c>
      <c r="E45" s="3" t="s">
        <v>51</v>
      </c>
      <c r="F45" s="53"/>
      <c r="G45" s="53"/>
      <c r="H45" s="53"/>
      <c r="I45" s="54"/>
      <c r="J45" s="53"/>
      <c r="K45" s="53"/>
      <c r="L45" s="53"/>
      <c r="M45" s="53"/>
      <c r="N45" s="54"/>
      <c r="O45" s="53" t="str">
        <f>IF('Review Register'!M4="","",'Review Register'!M4)</f>
        <v/>
      </c>
      <c r="P45" s="53" t="str">
        <f>IF('Review Register'!D4="","",'Review Register'!D4)</f>
        <v/>
      </c>
    </row>
    <row r="46" spans="1:16" ht="45">
      <c r="A46" s="53" t="s">
        <v>24</v>
      </c>
      <c r="B46" s="3" t="s">
        <v>44</v>
      </c>
      <c r="C46" s="9" t="s">
        <v>53</v>
      </c>
      <c r="D46" s="3" t="s">
        <v>54</v>
      </c>
      <c r="E46" s="3" t="s">
        <v>55</v>
      </c>
      <c r="F46" s="53"/>
      <c r="G46" s="53"/>
      <c r="H46" s="53"/>
      <c r="I46" s="54"/>
      <c r="J46" s="53"/>
      <c r="K46" s="53"/>
      <c r="L46" s="53"/>
      <c r="M46" s="53"/>
      <c r="N46" s="54"/>
      <c r="O46" s="53" t="str">
        <f>IF('Review Register'!M4="","",'Review Register'!M4)</f>
        <v/>
      </c>
      <c r="P46" s="53" t="str">
        <f>IF('Review Register'!D4="","",'Review Register'!D4)</f>
        <v/>
      </c>
    </row>
    <row r="47" spans="1:16" ht="60">
      <c r="A47" s="53" t="s">
        <v>24</v>
      </c>
      <c r="B47" s="3" t="s">
        <v>57</v>
      </c>
      <c r="C47" s="9" t="s">
        <v>58</v>
      </c>
      <c r="D47" s="3" t="s">
        <v>59</v>
      </c>
      <c r="E47" s="3" t="s">
        <v>60</v>
      </c>
      <c r="F47" s="53"/>
      <c r="G47" s="53"/>
      <c r="H47" s="53"/>
      <c r="I47" s="54"/>
      <c r="J47" s="53"/>
      <c r="K47" s="53"/>
      <c r="L47" s="53"/>
      <c r="M47" s="53"/>
      <c r="N47" s="54"/>
      <c r="O47" s="53" t="str">
        <f>IF('Review Register'!M4="","",'Review Register'!M4)</f>
        <v/>
      </c>
      <c r="P47" s="53" t="str">
        <f>IF('Review Register'!D4="","",'Review Register'!D4)</f>
        <v/>
      </c>
    </row>
    <row r="48" spans="1:16" ht="60">
      <c r="A48" s="53" t="s">
        <v>24</v>
      </c>
      <c r="B48" s="3" t="s">
        <v>57</v>
      </c>
      <c r="C48" s="9" t="s">
        <v>62</v>
      </c>
      <c r="D48" s="3" t="s">
        <v>63</v>
      </c>
      <c r="E48" s="3" t="s">
        <v>64</v>
      </c>
      <c r="F48" s="53"/>
      <c r="G48" s="53"/>
      <c r="H48" s="53"/>
      <c r="I48" s="54"/>
      <c r="J48" s="53"/>
      <c r="K48" s="53"/>
      <c r="L48" s="53"/>
      <c r="M48" s="53"/>
      <c r="N48" s="54"/>
      <c r="O48" s="53" t="str">
        <f>IF('Review Register'!M4="","",'Review Register'!M4)</f>
        <v/>
      </c>
      <c r="P48" s="53" t="str">
        <f>IF('Review Register'!D4="","",'Review Register'!D4)</f>
        <v/>
      </c>
    </row>
    <row r="49" spans="1:16" ht="75">
      <c r="A49" s="53" t="s">
        <v>24</v>
      </c>
      <c r="B49" s="3" t="s">
        <v>57</v>
      </c>
      <c r="C49" s="9" t="s">
        <v>66</v>
      </c>
      <c r="D49" s="3" t="s">
        <v>67</v>
      </c>
      <c r="E49" s="3" t="s">
        <v>68</v>
      </c>
      <c r="F49" s="53"/>
      <c r="G49" s="53"/>
      <c r="H49" s="53"/>
      <c r="I49" s="54"/>
      <c r="J49" s="53"/>
      <c r="K49" s="53"/>
      <c r="L49" s="53"/>
      <c r="M49" s="53"/>
      <c r="N49" s="54"/>
      <c r="O49" s="53" t="str">
        <f>IF('Review Register'!M4="","",'Review Register'!M4)</f>
        <v/>
      </c>
      <c r="P49" s="53" t="str">
        <f>IF('Review Register'!D4="","",'Review Register'!D4)</f>
        <v/>
      </c>
    </row>
    <row r="50" spans="1:16" ht="60">
      <c r="A50" s="53" t="s">
        <v>24</v>
      </c>
      <c r="B50" s="3" t="s">
        <v>70</v>
      </c>
      <c r="C50" s="9" t="s">
        <v>71</v>
      </c>
      <c r="D50" s="3" t="s">
        <v>532</v>
      </c>
      <c r="E50" s="3" t="s">
        <v>576</v>
      </c>
      <c r="F50" s="53"/>
      <c r="G50" s="53"/>
      <c r="H50" s="53"/>
      <c r="I50" s="54"/>
      <c r="J50" s="53"/>
      <c r="K50" s="53"/>
      <c r="L50" s="53"/>
      <c r="M50" s="53"/>
      <c r="N50" s="54"/>
      <c r="O50" s="53" t="str">
        <f>IF('Review Register'!M4="","",'Review Register'!M4)</f>
        <v/>
      </c>
      <c r="P50" s="53" t="str">
        <f>IF('Review Register'!D4="","",'Review Register'!D4)</f>
        <v/>
      </c>
    </row>
    <row r="51" spans="1:16" ht="60">
      <c r="A51" s="53" t="s">
        <v>24</v>
      </c>
      <c r="B51" s="3" t="s">
        <v>70</v>
      </c>
      <c r="C51" s="9" t="s">
        <v>74</v>
      </c>
      <c r="D51" s="3" t="s">
        <v>533</v>
      </c>
      <c r="E51" s="3" t="s">
        <v>577</v>
      </c>
      <c r="F51" s="53"/>
      <c r="G51" s="53"/>
      <c r="H51" s="53"/>
      <c r="I51" s="54"/>
      <c r="J51" s="53"/>
      <c r="K51" s="53"/>
      <c r="L51" s="53"/>
      <c r="M51" s="53"/>
      <c r="N51" s="54"/>
      <c r="O51" s="53" t="str">
        <f>IF('Review Register'!M4="","",'Review Register'!M4)</f>
        <v/>
      </c>
      <c r="P51" s="53" t="str">
        <f>IF('Review Register'!D4="","",'Review Register'!D4)</f>
        <v/>
      </c>
    </row>
    <row r="52" spans="1:16" ht="75">
      <c r="A52" s="53" t="s">
        <v>24</v>
      </c>
      <c r="B52" s="3" t="s">
        <v>70</v>
      </c>
      <c r="C52" s="9" t="s">
        <v>78</v>
      </c>
      <c r="D52" s="3" t="s">
        <v>534</v>
      </c>
      <c r="E52" s="3" t="s">
        <v>578</v>
      </c>
      <c r="F52" s="53"/>
      <c r="G52" s="53"/>
      <c r="H52" s="53"/>
      <c r="I52" s="54"/>
      <c r="J52" s="53"/>
      <c r="K52" s="53"/>
      <c r="L52" s="53"/>
      <c r="M52" s="53"/>
      <c r="N52" s="54"/>
      <c r="O52" s="53" t="str">
        <f>IF('Review Register'!M4="","",'Review Register'!M4)</f>
        <v/>
      </c>
      <c r="P52" s="53" t="str">
        <f>IF('Review Register'!D4="","",'Review Register'!D4)</f>
        <v/>
      </c>
    </row>
    <row r="53" spans="1:16" ht="60">
      <c r="A53" s="53" t="s">
        <v>24</v>
      </c>
      <c r="B53" s="3" t="s">
        <v>82</v>
      </c>
      <c r="C53" s="9" t="s">
        <v>83</v>
      </c>
      <c r="D53" s="3" t="s">
        <v>84</v>
      </c>
      <c r="E53" s="3" t="s">
        <v>579</v>
      </c>
      <c r="F53" s="53"/>
      <c r="G53" s="53"/>
      <c r="H53" s="53"/>
      <c r="I53" s="54"/>
      <c r="J53" s="53"/>
      <c r="K53" s="53"/>
      <c r="L53" s="53"/>
      <c r="M53" s="53"/>
      <c r="N53" s="54"/>
      <c r="O53" s="53" t="str">
        <f>IF('Review Register'!M4="","",'Review Register'!M4)</f>
        <v/>
      </c>
      <c r="P53" s="53" t="str">
        <f>IF('Review Register'!D4="","",'Review Register'!D4)</f>
        <v/>
      </c>
    </row>
    <row r="54" spans="1:16" ht="60">
      <c r="A54" s="53" t="s">
        <v>24</v>
      </c>
      <c r="B54" s="3" t="s">
        <v>82</v>
      </c>
      <c r="C54" s="9" t="s">
        <v>87</v>
      </c>
      <c r="D54" s="3" t="s">
        <v>88</v>
      </c>
      <c r="E54" s="3" t="s">
        <v>89</v>
      </c>
      <c r="F54" s="53"/>
      <c r="G54" s="53"/>
      <c r="H54" s="53"/>
      <c r="I54" s="54"/>
      <c r="J54" s="53"/>
      <c r="K54" s="53"/>
      <c r="L54" s="53"/>
      <c r="M54" s="53"/>
      <c r="N54" s="54"/>
      <c r="O54" s="53" t="str">
        <f>IF('Review Register'!M4="","",'Review Register'!M4)</f>
        <v/>
      </c>
      <c r="P54" s="53" t="str">
        <f>IF('Review Register'!D4="","",'Review Register'!D4)</f>
        <v/>
      </c>
    </row>
    <row r="55" spans="1:16" ht="45">
      <c r="A55" s="53" t="s">
        <v>24</v>
      </c>
      <c r="B55" s="3" t="s">
        <v>82</v>
      </c>
      <c r="C55" s="9" t="s">
        <v>91</v>
      </c>
      <c r="D55" s="3" t="s">
        <v>92</v>
      </c>
      <c r="E55" s="3" t="s">
        <v>93</v>
      </c>
      <c r="F55" s="53"/>
      <c r="G55" s="53"/>
      <c r="H55" s="53"/>
      <c r="I55" s="54"/>
      <c r="J55" s="53"/>
      <c r="K55" s="53"/>
      <c r="L55" s="53"/>
      <c r="M55" s="53"/>
      <c r="N55" s="54"/>
      <c r="O55" s="53" t="str">
        <f>IF('Review Register'!M4="","",'Review Register'!M4)</f>
        <v/>
      </c>
      <c r="P55" s="53" t="str">
        <f>IF('Review Register'!D4="","",'Review Register'!D4)</f>
        <v/>
      </c>
    </row>
    <row r="56" spans="1:16" ht="60">
      <c r="A56" s="53" t="s">
        <v>24</v>
      </c>
      <c r="B56" s="3" t="s">
        <v>95</v>
      </c>
      <c r="C56" s="9" t="s">
        <v>96</v>
      </c>
      <c r="D56" s="3" t="s">
        <v>97</v>
      </c>
      <c r="E56" s="3" t="s">
        <v>580</v>
      </c>
      <c r="F56" s="53"/>
      <c r="G56" s="53"/>
      <c r="H56" s="53"/>
      <c r="I56" s="54"/>
      <c r="J56" s="53"/>
      <c r="K56" s="53"/>
      <c r="L56" s="53"/>
      <c r="M56" s="53"/>
      <c r="N56" s="54"/>
      <c r="O56" s="53" t="str">
        <f>IF('Review Register'!M4="","",'Review Register'!M4)</f>
        <v/>
      </c>
      <c r="P56" s="53" t="str">
        <f>IF('Review Register'!D4="","",'Review Register'!D4)</f>
        <v/>
      </c>
    </row>
    <row r="57" spans="1:16" ht="60">
      <c r="A57" s="53" t="s">
        <v>24</v>
      </c>
      <c r="B57" s="3" t="s">
        <v>95</v>
      </c>
      <c r="C57" s="9" t="s">
        <v>100</v>
      </c>
      <c r="D57" s="3" t="s">
        <v>101</v>
      </c>
      <c r="E57" s="3" t="s">
        <v>102</v>
      </c>
      <c r="F57" s="53"/>
      <c r="G57" s="53"/>
      <c r="H57" s="53"/>
      <c r="I57" s="54"/>
      <c r="J57" s="53"/>
      <c r="K57" s="53"/>
      <c r="L57" s="53"/>
      <c r="M57" s="53"/>
      <c r="N57" s="54"/>
      <c r="O57" s="53" t="str">
        <f>IF('Review Register'!M4="","",'Review Register'!M4)</f>
        <v/>
      </c>
      <c r="P57" s="53" t="str">
        <f>IF('Review Register'!D4="","",'Review Register'!D4)</f>
        <v/>
      </c>
    </row>
    <row r="58" spans="1:16" ht="45">
      <c r="A58" s="53" t="s">
        <v>24</v>
      </c>
      <c r="B58" s="3" t="s">
        <v>95</v>
      </c>
      <c r="C58" s="9" t="s">
        <v>104</v>
      </c>
      <c r="D58" s="3" t="s">
        <v>105</v>
      </c>
      <c r="E58" s="3" t="s">
        <v>106</v>
      </c>
      <c r="F58" s="53"/>
      <c r="G58" s="53"/>
      <c r="H58" s="53"/>
      <c r="I58" s="54"/>
      <c r="J58" s="53"/>
      <c r="K58" s="53"/>
      <c r="L58" s="53"/>
      <c r="M58" s="53"/>
      <c r="N58" s="54"/>
      <c r="O58" s="53" t="str">
        <f>IF('Review Register'!M4="","",'Review Register'!M4)</f>
        <v/>
      </c>
      <c r="P58" s="53" t="str">
        <f>IF('Review Register'!D4="","",'Review Register'!D4)</f>
        <v/>
      </c>
    </row>
    <row r="59" spans="1:16" ht="45">
      <c r="A59" s="53" t="s">
        <v>24</v>
      </c>
      <c r="B59" s="3" t="s">
        <v>108</v>
      </c>
      <c r="C59" s="9" t="s">
        <v>109</v>
      </c>
      <c r="D59" s="3" t="s">
        <v>110</v>
      </c>
      <c r="E59" s="3" t="s">
        <v>111</v>
      </c>
      <c r="F59" s="53"/>
      <c r="G59" s="53"/>
      <c r="H59" s="53"/>
      <c r="I59" s="54"/>
      <c r="J59" s="53"/>
      <c r="K59" s="53"/>
      <c r="L59" s="53"/>
      <c r="M59" s="53"/>
      <c r="N59" s="54"/>
      <c r="O59" s="53" t="str">
        <f>IF('Review Register'!M4="","",'Review Register'!M4)</f>
        <v/>
      </c>
      <c r="P59" s="53" t="str">
        <f>IF('Review Register'!D4="","",'Review Register'!D4)</f>
        <v/>
      </c>
    </row>
    <row r="60" spans="1:16" ht="60">
      <c r="A60" s="53" t="s">
        <v>24</v>
      </c>
      <c r="B60" s="3" t="s">
        <v>108</v>
      </c>
      <c r="C60" s="9" t="s">
        <v>113</v>
      </c>
      <c r="D60" s="3" t="s">
        <v>114</v>
      </c>
      <c r="E60" s="3" t="s">
        <v>115</v>
      </c>
      <c r="F60" s="53"/>
      <c r="G60" s="53"/>
      <c r="H60" s="53"/>
      <c r="I60" s="54"/>
      <c r="J60" s="53"/>
      <c r="K60" s="53"/>
      <c r="L60" s="53"/>
      <c r="M60" s="53"/>
      <c r="N60" s="54"/>
      <c r="O60" s="53" t="str">
        <f>IF('Review Register'!M4="","",'Review Register'!M4)</f>
        <v/>
      </c>
      <c r="P60" s="53" t="str">
        <f>IF('Review Register'!D4="","",'Review Register'!D4)</f>
        <v/>
      </c>
    </row>
    <row r="61" spans="1:16" ht="45">
      <c r="A61" s="53" t="s">
        <v>24</v>
      </c>
      <c r="B61" s="3" t="s">
        <v>108</v>
      </c>
      <c r="C61" s="9" t="s">
        <v>117</v>
      </c>
      <c r="D61" s="3" t="s">
        <v>118</v>
      </c>
      <c r="E61" s="3" t="s">
        <v>119</v>
      </c>
      <c r="F61" s="53"/>
      <c r="G61" s="53"/>
      <c r="H61" s="53"/>
      <c r="I61" s="54"/>
      <c r="J61" s="53"/>
      <c r="K61" s="53"/>
      <c r="L61" s="53"/>
      <c r="M61" s="53"/>
      <c r="N61" s="54"/>
      <c r="O61" s="53" t="str">
        <f>IF('Review Register'!M4="","",'Review Register'!M4)</f>
        <v/>
      </c>
      <c r="P61" s="53" t="str">
        <f>IF('Review Register'!D4="","",'Review Register'!D4)</f>
        <v/>
      </c>
    </row>
    <row r="62" spans="1:16" ht="45">
      <c r="A62" s="53" t="s">
        <v>24</v>
      </c>
      <c r="B62" s="3" t="s">
        <v>121</v>
      </c>
      <c r="C62" s="9" t="s">
        <v>122</v>
      </c>
      <c r="D62" s="3" t="s">
        <v>123</v>
      </c>
      <c r="E62" s="3" t="s">
        <v>124</v>
      </c>
      <c r="F62" s="53"/>
      <c r="G62" s="53"/>
      <c r="H62" s="53"/>
      <c r="I62" s="54"/>
      <c r="J62" s="53"/>
      <c r="K62" s="53"/>
      <c r="L62" s="53"/>
      <c r="M62" s="53"/>
      <c r="N62" s="54"/>
      <c r="O62" s="53" t="str">
        <f>IF('Review Register'!M4="","",'Review Register'!M4)</f>
        <v/>
      </c>
      <c r="P62" s="53" t="str">
        <f>IF('Review Register'!D4="","",'Review Register'!D4)</f>
        <v/>
      </c>
    </row>
    <row r="63" spans="1:16" ht="60">
      <c r="A63" s="53" t="s">
        <v>24</v>
      </c>
      <c r="B63" s="3" t="s">
        <v>121</v>
      </c>
      <c r="C63" s="9" t="s">
        <v>126</v>
      </c>
      <c r="D63" s="3" t="s">
        <v>127</v>
      </c>
      <c r="E63" s="3" t="s">
        <v>128</v>
      </c>
      <c r="F63" s="53"/>
      <c r="G63" s="53"/>
      <c r="H63" s="53"/>
      <c r="I63" s="54"/>
      <c r="J63" s="53"/>
      <c r="K63" s="53"/>
      <c r="L63" s="53"/>
      <c r="M63" s="53"/>
      <c r="N63" s="54"/>
      <c r="O63" s="53" t="str">
        <f>IF('Review Register'!M4="","",'Review Register'!M4)</f>
        <v/>
      </c>
      <c r="P63" s="53" t="str">
        <f>IF('Review Register'!D4="","",'Review Register'!D4)</f>
        <v/>
      </c>
    </row>
    <row r="64" spans="1:16" ht="75">
      <c r="A64" s="53" t="s">
        <v>24</v>
      </c>
      <c r="B64" s="3" t="s">
        <v>121</v>
      </c>
      <c r="C64" s="9" t="s">
        <v>130</v>
      </c>
      <c r="D64" s="3" t="s">
        <v>131</v>
      </c>
      <c r="E64" s="3" t="s">
        <v>132</v>
      </c>
      <c r="F64" s="53"/>
      <c r="G64" s="53"/>
      <c r="H64" s="53"/>
      <c r="I64" s="54"/>
      <c r="J64" s="53"/>
      <c r="K64" s="53"/>
      <c r="L64" s="53"/>
      <c r="M64" s="53"/>
      <c r="N64" s="54"/>
      <c r="O64" s="53" t="str">
        <f>IF('Review Register'!M4="","",'Review Register'!M4)</f>
        <v/>
      </c>
      <c r="P64" s="53" t="str">
        <f>IF('Review Register'!D4="","",'Review Register'!D4)</f>
        <v/>
      </c>
    </row>
    <row r="65" spans="1:16" ht="45">
      <c r="A65" s="53" t="s">
        <v>26</v>
      </c>
      <c r="B65" s="3" t="s">
        <v>44</v>
      </c>
      <c r="C65" s="9" t="s">
        <v>45</v>
      </c>
      <c r="D65" s="3" t="s">
        <v>46</v>
      </c>
      <c r="E65" s="3" t="s">
        <v>47</v>
      </c>
      <c r="F65" s="53"/>
      <c r="G65" s="53"/>
      <c r="H65" s="53"/>
      <c r="I65" s="54"/>
      <c r="J65" s="53"/>
      <c r="K65" s="53"/>
      <c r="L65" s="53"/>
      <c r="M65" s="53"/>
      <c r="N65" s="54"/>
      <c r="O65" s="53" t="str">
        <f>IF('Review Register'!M5="","",'Review Register'!M5)</f>
        <v/>
      </c>
      <c r="P65" s="53" t="str">
        <f>IF('Review Register'!D5="","",'Review Register'!D5)</f>
        <v/>
      </c>
    </row>
    <row r="66" spans="1:16" ht="60">
      <c r="A66" s="53" t="s">
        <v>26</v>
      </c>
      <c r="B66" s="3" t="s">
        <v>44</v>
      </c>
      <c r="C66" s="9" t="s">
        <v>49</v>
      </c>
      <c r="D66" s="3" t="s">
        <v>50</v>
      </c>
      <c r="E66" s="3" t="s">
        <v>51</v>
      </c>
      <c r="F66" s="53"/>
      <c r="G66" s="53"/>
      <c r="H66" s="53"/>
      <c r="I66" s="54"/>
      <c r="J66" s="53"/>
      <c r="K66" s="53"/>
      <c r="L66" s="53"/>
      <c r="M66" s="53"/>
      <c r="N66" s="54"/>
      <c r="O66" s="53" t="str">
        <f>IF('Review Register'!M5="","",'Review Register'!M5)</f>
        <v/>
      </c>
      <c r="P66" s="53" t="str">
        <f>IF('Review Register'!D5="","",'Review Register'!D5)</f>
        <v/>
      </c>
    </row>
    <row r="67" spans="1:16" ht="45">
      <c r="A67" s="53" t="s">
        <v>26</v>
      </c>
      <c r="B67" s="3" t="s">
        <v>44</v>
      </c>
      <c r="C67" s="9" t="s">
        <v>53</v>
      </c>
      <c r="D67" s="3" t="s">
        <v>54</v>
      </c>
      <c r="E67" s="3" t="s">
        <v>55</v>
      </c>
      <c r="F67" s="53"/>
      <c r="G67" s="53"/>
      <c r="H67" s="53"/>
      <c r="I67" s="54"/>
      <c r="J67" s="53"/>
      <c r="K67" s="53"/>
      <c r="L67" s="53"/>
      <c r="M67" s="53"/>
      <c r="N67" s="54"/>
      <c r="O67" s="53" t="str">
        <f>IF('Review Register'!M5="","",'Review Register'!M5)</f>
        <v/>
      </c>
      <c r="P67" s="53" t="str">
        <f>IF('Review Register'!D5="","",'Review Register'!D5)</f>
        <v/>
      </c>
    </row>
    <row r="68" spans="1:16" ht="60">
      <c r="A68" s="53" t="s">
        <v>26</v>
      </c>
      <c r="B68" s="3" t="s">
        <v>57</v>
      </c>
      <c r="C68" s="9" t="s">
        <v>58</v>
      </c>
      <c r="D68" s="3" t="s">
        <v>59</v>
      </c>
      <c r="E68" s="3" t="s">
        <v>60</v>
      </c>
      <c r="F68" s="53"/>
      <c r="G68" s="53"/>
      <c r="H68" s="53"/>
      <c r="I68" s="54"/>
      <c r="J68" s="53"/>
      <c r="K68" s="53"/>
      <c r="L68" s="53"/>
      <c r="M68" s="53"/>
      <c r="N68" s="54"/>
      <c r="O68" s="53" t="str">
        <f>IF('Review Register'!M5="","",'Review Register'!M5)</f>
        <v/>
      </c>
      <c r="P68" s="53" t="str">
        <f>IF('Review Register'!D5="","",'Review Register'!D5)</f>
        <v/>
      </c>
    </row>
    <row r="69" spans="1:16" ht="60">
      <c r="A69" s="53" t="s">
        <v>26</v>
      </c>
      <c r="B69" s="3" t="s">
        <v>57</v>
      </c>
      <c r="C69" s="9" t="s">
        <v>62</v>
      </c>
      <c r="D69" s="3" t="s">
        <v>63</v>
      </c>
      <c r="E69" s="3" t="s">
        <v>64</v>
      </c>
      <c r="F69" s="53"/>
      <c r="G69" s="53"/>
      <c r="H69" s="53"/>
      <c r="I69" s="54"/>
      <c r="J69" s="53"/>
      <c r="K69" s="53"/>
      <c r="L69" s="53"/>
      <c r="M69" s="53"/>
      <c r="N69" s="54"/>
      <c r="O69" s="53" t="str">
        <f>IF('Review Register'!M5="","",'Review Register'!M5)</f>
        <v/>
      </c>
      <c r="P69" s="53" t="str">
        <f>IF('Review Register'!D5="","",'Review Register'!D5)</f>
        <v/>
      </c>
    </row>
    <row r="70" spans="1:16" ht="75">
      <c r="A70" s="53" t="s">
        <v>26</v>
      </c>
      <c r="B70" s="3" t="s">
        <v>57</v>
      </c>
      <c r="C70" s="9" t="s">
        <v>66</v>
      </c>
      <c r="D70" s="3" t="s">
        <v>67</v>
      </c>
      <c r="E70" s="3" t="s">
        <v>68</v>
      </c>
      <c r="F70" s="53"/>
      <c r="G70" s="53"/>
      <c r="H70" s="53"/>
      <c r="I70" s="54"/>
      <c r="J70" s="53"/>
      <c r="K70" s="53"/>
      <c r="L70" s="53"/>
      <c r="M70" s="53"/>
      <c r="N70" s="54"/>
      <c r="O70" s="53" t="str">
        <f>IF('Review Register'!M5="","",'Review Register'!M5)</f>
        <v/>
      </c>
      <c r="P70" s="53" t="str">
        <f>IF('Review Register'!D5="","",'Review Register'!D5)</f>
        <v/>
      </c>
    </row>
    <row r="71" spans="1:16" ht="60">
      <c r="A71" s="53" t="s">
        <v>26</v>
      </c>
      <c r="B71" s="3" t="s">
        <v>70</v>
      </c>
      <c r="C71" s="9" t="s">
        <v>71</v>
      </c>
      <c r="D71" s="3" t="s">
        <v>532</v>
      </c>
      <c r="E71" s="3" t="s">
        <v>576</v>
      </c>
      <c r="F71" s="53"/>
      <c r="G71" s="53"/>
      <c r="H71" s="53"/>
      <c r="I71" s="54"/>
      <c r="J71" s="53"/>
      <c r="K71" s="53"/>
      <c r="L71" s="53"/>
      <c r="M71" s="53"/>
      <c r="N71" s="54"/>
      <c r="O71" s="53" t="str">
        <f>IF('Review Register'!M5="","",'Review Register'!M5)</f>
        <v/>
      </c>
      <c r="P71" s="53" t="str">
        <f>IF('Review Register'!D5="","",'Review Register'!D5)</f>
        <v/>
      </c>
    </row>
    <row r="72" spans="1:16" ht="60">
      <c r="A72" s="53" t="s">
        <v>26</v>
      </c>
      <c r="B72" s="3" t="s">
        <v>70</v>
      </c>
      <c r="C72" s="9" t="s">
        <v>74</v>
      </c>
      <c r="D72" s="3" t="s">
        <v>533</v>
      </c>
      <c r="E72" s="3" t="s">
        <v>577</v>
      </c>
      <c r="F72" s="53"/>
      <c r="G72" s="53"/>
      <c r="H72" s="53"/>
      <c r="I72" s="54"/>
      <c r="J72" s="53"/>
      <c r="K72" s="53"/>
      <c r="L72" s="53"/>
      <c r="M72" s="53"/>
      <c r="N72" s="54"/>
      <c r="O72" s="53" t="str">
        <f>IF('Review Register'!M5="","",'Review Register'!M5)</f>
        <v/>
      </c>
      <c r="P72" s="53" t="str">
        <f>IF('Review Register'!D5="","",'Review Register'!D5)</f>
        <v/>
      </c>
    </row>
    <row r="73" spans="1:16" ht="75">
      <c r="A73" s="53" t="s">
        <v>26</v>
      </c>
      <c r="B73" s="3" t="s">
        <v>70</v>
      </c>
      <c r="C73" s="9" t="s">
        <v>78</v>
      </c>
      <c r="D73" s="3" t="s">
        <v>534</v>
      </c>
      <c r="E73" s="3" t="s">
        <v>578</v>
      </c>
      <c r="F73" s="53"/>
      <c r="G73" s="53"/>
      <c r="H73" s="53"/>
      <c r="I73" s="54"/>
      <c r="J73" s="53"/>
      <c r="K73" s="53"/>
      <c r="L73" s="53"/>
      <c r="M73" s="53"/>
      <c r="N73" s="54"/>
      <c r="O73" s="53" t="str">
        <f>IF('Review Register'!M5="","",'Review Register'!M5)</f>
        <v/>
      </c>
      <c r="P73" s="53" t="str">
        <f>IF('Review Register'!D5="","",'Review Register'!D5)</f>
        <v/>
      </c>
    </row>
    <row r="74" spans="1:16" ht="60">
      <c r="A74" s="53" t="s">
        <v>26</v>
      </c>
      <c r="B74" s="3" t="s">
        <v>82</v>
      </c>
      <c r="C74" s="9" t="s">
        <v>83</v>
      </c>
      <c r="D74" s="3" t="s">
        <v>84</v>
      </c>
      <c r="E74" s="3" t="s">
        <v>579</v>
      </c>
      <c r="F74" s="53"/>
      <c r="G74" s="53"/>
      <c r="H74" s="53"/>
      <c r="I74" s="54"/>
      <c r="J74" s="53"/>
      <c r="K74" s="53"/>
      <c r="L74" s="53"/>
      <c r="M74" s="53"/>
      <c r="N74" s="54"/>
      <c r="O74" s="53" t="str">
        <f>IF('Review Register'!M5="","",'Review Register'!M5)</f>
        <v/>
      </c>
      <c r="P74" s="53" t="str">
        <f>IF('Review Register'!D5="","",'Review Register'!D5)</f>
        <v/>
      </c>
    </row>
    <row r="75" spans="1:16" ht="60">
      <c r="A75" s="53" t="s">
        <v>26</v>
      </c>
      <c r="B75" s="3" t="s">
        <v>82</v>
      </c>
      <c r="C75" s="9" t="s">
        <v>87</v>
      </c>
      <c r="D75" s="3" t="s">
        <v>88</v>
      </c>
      <c r="E75" s="3" t="s">
        <v>89</v>
      </c>
      <c r="F75" s="53"/>
      <c r="G75" s="53"/>
      <c r="H75" s="53"/>
      <c r="I75" s="54"/>
      <c r="J75" s="53"/>
      <c r="K75" s="53"/>
      <c r="L75" s="53"/>
      <c r="M75" s="53"/>
      <c r="N75" s="54"/>
      <c r="O75" s="53" t="str">
        <f>IF('Review Register'!M5="","",'Review Register'!M5)</f>
        <v/>
      </c>
      <c r="P75" s="53" t="str">
        <f>IF('Review Register'!D5="","",'Review Register'!D5)</f>
        <v/>
      </c>
    </row>
    <row r="76" spans="1:16" ht="45">
      <c r="A76" s="53" t="s">
        <v>26</v>
      </c>
      <c r="B76" s="3" t="s">
        <v>82</v>
      </c>
      <c r="C76" s="9" t="s">
        <v>91</v>
      </c>
      <c r="D76" s="3" t="s">
        <v>92</v>
      </c>
      <c r="E76" s="3" t="s">
        <v>93</v>
      </c>
      <c r="F76" s="53"/>
      <c r="G76" s="53"/>
      <c r="H76" s="53"/>
      <c r="I76" s="54"/>
      <c r="J76" s="53"/>
      <c r="K76" s="53"/>
      <c r="L76" s="53"/>
      <c r="M76" s="53"/>
      <c r="N76" s="54"/>
      <c r="O76" s="53" t="str">
        <f>IF('Review Register'!M5="","",'Review Register'!M5)</f>
        <v/>
      </c>
      <c r="P76" s="53" t="str">
        <f>IF('Review Register'!D5="","",'Review Register'!D5)</f>
        <v/>
      </c>
    </row>
    <row r="77" spans="1:16" ht="60">
      <c r="A77" s="53" t="s">
        <v>26</v>
      </c>
      <c r="B77" s="3" t="s">
        <v>95</v>
      </c>
      <c r="C77" s="9" t="s">
        <v>96</v>
      </c>
      <c r="D77" s="3" t="s">
        <v>97</v>
      </c>
      <c r="E77" s="3" t="s">
        <v>580</v>
      </c>
      <c r="F77" s="53"/>
      <c r="G77" s="53"/>
      <c r="H77" s="53"/>
      <c r="I77" s="54"/>
      <c r="J77" s="53"/>
      <c r="K77" s="53"/>
      <c r="L77" s="53"/>
      <c r="M77" s="53"/>
      <c r="N77" s="54"/>
      <c r="O77" s="53" t="str">
        <f>IF('Review Register'!M5="","",'Review Register'!M5)</f>
        <v/>
      </c>
      <c r="P77" s="53" t="str">
        <f>IF('Review Register'!D5="","",'Review Register'!D5)</f>
        <v/>
      </c>
    </row>
    <row r="78" spans="1:16" ht="60">
      <c r="A78" s="53" t="s">
        <v>26</v>
      </c>
      <c r="B78" s="3" t="s">
        <v>95</v>
      </c>
      <c r="C78" s="9" t="s">
        <v>100</v>
      </c>
      <c r="D78" s="3" t="s">
        <v>101</v>
      </c>
      <c r="E78" s="3" t="s">
        <v>102</v>
      </c>
      <c r="F78" s="53"/>
      <c r="G78" s="53"/>
      <c r="H78" s="53"/>
      <c r="I78" s="54"/>
      <c r="J78" s="53"/>
      <c r="K78" s="53"/>
      <c r="L78" s="53"/>
      <c r="M78" s="53"/>
      <c r="N78" s="54"/>
      <c r="O78" s="53" t="str">
        <f>IF('Review Register'!M5="","",'Review Register'!M5)</f>
        <v/>
      </c>
      <c r="P78" s="53" t="str">
        <f>IF('Review Register'!D5="","",'Review Register'!D5)</f>
        <v/>
      </c>
    </row>
    <row r="79" spans="1:16" ht="45">
      <c r="A79" s="53" t="s">
        <v>26</v>
      </c>
      <c r="B79" s="3" t="s">
        <v>95</v>
      </c>
      <c r="C79" s="9" t="s">
        <v>104</v>
      </c>
      <c r="D79" s="3" t="s">
        <v>105</v>
      </c>
      <c r="E79" s="3" t="s">
        <v>106</v>
      </c>
      <c r="F79" s="53"/>
      <c r="G79" s="53"/>
      <c r="H79" s="53"/>
      <c r="I79" s="54"/>
      <c r="J79" s="53"/>
      <c r="K79" s="53"/>
      <c r="L79" s="53"/>
      <c r="M79" s="53"/>
      <c r="N79" s="54"/>
      <c r="O79" s="53" t="str">
        <f>IF('Review Register'!M5="","",'Review Register'!M5)</f>
        <v/>
      </c>
      <c r="P79" s="53" t="str">
        <f>IF('Review Register'!D5="","",'Review Register'!D5)</f>
        <v/>
      </c>
    </row>
    <row r="80" spans="1:16" ht="45">
      <c r="A80" s="53" t="s">
        <v>26</v>
      </c>
      <c r="B80" s="3" t="s">
        <v>108</v>
      </c>
      <c r="C80" s="9" t="s">
        <v>109</v>
      </c>
      <c r="D80" s="3" t="s">
        <v>110</v>
      </c>
      <c r="E80" s="3" t="s">
        <v>111</v>
      </c>
      <c r="F80" s="53"/>
      <c r="G80" s="53"/>
      <c r="H80" s="53"/>
      <c r="I80" s="54"/>
      <c r="J80" s="53"/>
      <c r="K80" s="53"/>
      <c r="L80" s="53"/>
      <c r="M80" s="53"/>
      <c r="N80" s="54"/>
      <c r="O80" s="53" t="str">
        <f>IF('Review Register'!M5="","",'Review Register'!M5)</f>
        <v/>
      </c>
      <c r="P80" s="53" t="str">
        <f>IF('Review Register'!D5="","",'Review Register'!D5)</f>
        <v/>
      </c>
    </row>
    <row r="81" spans="1:16" ht="60">
      <c r="A81" s="53" t="s">
        <v>26</v>
      </c>
      <c r="B81" s="3" t="s">
        <v>108</v>
      </c>
      <c r="C81" s="9" t="s">
        <v>113</v>
      </c>
      <c r="D81" s="3" t="s">
        <v>114</v>
      </c>
      <c r="E81" s="3" t="s">
        <v>115</v>
      </c>
      <c r="F81" s="53"/>
      <c r="G81" s="53"/>
      <c r="H81" s="53"/>
      <c r="I81" s="54"/>
      <c r="J81" s="53"/>
      <c r="K81" s="53"/>
      <c r="L81" s="53"/>
      <c r="M81" s="53"/>
      <c r="N81" s="54"/>
      <c r="O81" s="53" t="str">
        <f>IF('Review Register'!M5="","",'Review Register'!M5)</f>
        <v/>
      </c>
      <c r="P81" s="53" t="str">
        <f>IF('Review Register'!D5="","",'Review Register'!D5)</f>
        <v/>
      </c>
    </row>
    <row r="82" spans="1:16" ht="45">
      <c r="A82" s="53" t="s">
        <v>26</v>
      </c>
      <c r="B82" s="3" t="s">
        <v>108</v>
      </c>
      <c r="C82" s="9" t="s">
        <v>117</v>
      </c>
      <c r="D82" s="3" t="s">
        <v>118</v>
      </c>
      <c r="E82" s="3" t="s">
        <v>119</v>
      </c>
      <c r="F82" s="53"/>
      <c r="G82" s="53"/>
      <c r="H82" s="53"/>
      <c r="I82" s="54"/>
      <c r="J82" s="53"/>
      <c r="K82" s="53"/>
      <c r="L82" s="53"/>
      <c r="M82" s="53"/>
      <c r="N82" s="54"/>
      <c r="O82" s="53" t="str">
        <f>IF('Review Register'!M5="","",'Review Register'!M5)</f>
        <v/>
      </c>
      <c r="P82" s="53" t="str">
        <f>IF('Review Register'!D5="","",'Review Register'!D5)</f>
        <v/>
      </c>
    </row>
    <row r="83" spans="1:16" ht="45">
      <c r="A83" s="53" t="s">
        <v>26</v>
      </c>
      <c r="B83" s="3" t="s">
        <v>121</v>
      </c>
      <c r="C83" s="9" t="s">
        <v>122</v>
      </c>
      <c r="D83" s="3" t="s">
        <v>123</v>
      </c>
      <c r="E83" s="3" t="s">
        <v>124</v>
      </c>
      <c r="F83" s="53"/>
      <c r="G83" s="53"/>
      <c r="H83" s="53"/>
      <c r="I83" s="54"/>
      <c r="J83" s="53"/>
      <c r="K83" s="53"/>
      <c r="L83" s="53"/>
      <c r="M83" s="53"/>
      <c r="N83" s="54"/>
      <c r="O83" s="53" t="str">
        <f>IF('Review Register'!M5="","",'Review Register'!M5)</f>
        <v/>
      </c>
      <c r="P83" s="53" t="str">
        <f>IF('Review Register'!D5="","",'Review Register'!D5)</f>
        <v/>
      </c>
    </row>
    <row r="84" spans="1:16" ht="60">
      <c r="A84" s="53" t="s">
        <v>26</v>
      </c>
      <c r="B84" s="3" t="s">
        <v>121</v>
      </c>
      <c r="C84" s="9" t="s">
        <v>126</v>
      </c>
      <c r="D84" s="3" t="s">
        <v>127</v>
      </c>
      <c r="E84" s="3" t="s">
        <v>128</v>
      </c>
      <c r="F84" s="53"/>
      <c r="G84" s="53"/>
      <c r="H84" s="53"/>
      <c r="I84" s="54"/>
      <c r="J84" s="53"/>
      <c r="K84" s="53"/>
      <c r="L84" s="53"/>
      <c r="M84" s="53"/>
      <c r="N84" s="54"/>
      <c r="O84" s="53" t="str">
        <f>IF('Review Register'!M5="","",'Review Register'!M5)</f>
        <v/>
      </c>
      <c r="P84" s="53" t="str">
        <f>IF('Review Register'!D5="","",'Review Register'!D5)</f>
        <v/>
      </c>
    </row>
    <row r="85" spans="1:16" ht="75">
      <c r="A85" s="53" t="s">
        <v>26</v>
      </c>
      <c r="B85" s="3" t="s">
        <v>121</v>
      </c>
      <c r="C85" s="9" t="s">
        <v>130</v>
      </c>
      <c r="D85" s="3" t="s">
        <v>131</v>
      </c>
      <c r="E85" s="3" t="s">
        <v>132</v>
      </c>
      <c r="F85" s="53"/>
      <c r="G85" s="53"/>
      <c r="H85" s="53"/>
      <c r="I85" s="54"/>
      <c r="J85" s="53"/>
      <c r="K85" s="53"/>
      <c r="L85" s="53"/>
      <c r="M85" s="53"/>
      <c r="N85" s="54"/>
      <c r="O85" s="53" t="str">
        <f>IF('Review Register'!M5="","",'Review Register'!M5)</f>
        <v/>
      </c>
      <c r="P85" s="53" t="str">
        <f>IF('Review Register'!D5="","",'Review Register'!D5)</f>
        <v/>
      </c>
    </row>
    <row r="86" spans="1:16" ht="45">
      <c r="A86" s="53" t="s">
        <v>28</v>
      </c>
      <c r="B86" s="3" t="s">
        <v>44</v>
      </c>
      <c r="C86" s="9" t="s">
        <v>45</v>
      </c>
      <c r="D86" s="3" t="s">
        <v>46</v>
      </c>
      <c r="E86" s="3" t="s">
        <v>47</v>
      </c>
      <c r="F86" s="53"/>
      <c r="G86" s="53"/>
      <c r="H86" s="53"/>
      <c r="I86" s="54"/>
      <c r="J86" s="53"/>
      <c r="K86" s="53"/>
      <c r="L86" s="53"/>
      <c r="M86" s="53"/>
      <c r="N86" s="54"/>
      <c r="O86" s="53" t="str">
        <f>IF('Review Register'!M6="","",'Review Register'!M6)</f>
        <v/>
      </c>
      <c r="P86" s="53" t="str">
        <f>IF('Review Register'!D6="","",'Review Register'!D6)</f>
        <v/>
      </c>
    </row>
    <row r="87" spans="1:16" ht="60">
      <c r="A87" s="53" t="s">
        <v>28</v>
      </c>
      <c r="B87" s="3" t="s">
        <v>44</v>
      </c>
      <c r="C87" s="9" t="s">
        <v>49</v>
      </c>
      <c r="D87" s="3" t="s">
        <v>50</v>
      </c>
      <c r="E87" s="3" t="s">
        <v>51</v>
      </c>
      <c r="F87" s="53"/>
      <c r="G87" s="53"/>
      <c r="H87" s="53"/>
      <c r="I87" s="54"/>
      <c r="J87" s="53"/>
      <c r="K87" s="53"/>
      <c r="L87" s="53"/>
      <c r="M87" s="53"/>
      <c r="N87" s="54"/>
      <c r="O87" s="53" t="str">
        <f>IF('Review Register'!M6="","",'Review Register'!M6)</f>
        <v/>
      </c>
      <c r="P87" s="53" t="str">
        <f>IF('Review Register'!D6="","",'Review Register'!D6)</f>
        <v/>
      </c>
    </row>
    <row r="88" spans="1:16" ht="45">
      <c r="A88" s="53" t="s">
        <v>28</v>
      </c>
      <c r="B88" s="3" t="s">
        <v>44</v>
      </c>
      <c r="C88" s="9" t="s">
        <v>53</v>
      </c>
      <c r="D88" s="3" t="s">
        <v>54</v>
      </c>
      <c r="E88" s="3" t="s">
        <v>55</v>
      </c>
      <c r="F88" s="53"/>
      <c r="G88" s="53"/>
      <c r="H88" s="53"/>
      <c r="I88" s="54"/>
      <c r="J88" s="53"/>
      <c r="K88" s="53"/>
      <c r="L88" s="53"/>
      <c r="M88" s="53"/>
      <c r="N88" s="54"/>
      <c r="O88" s="53" t="str">
        <f>IF('Review Register'!M6="","",'Review Register'!M6)</f>
        <v/>
      </c>
      <c r="P88" s="53" t="str">
        <f>IF('Review Register'!D6="","",'Review Register'!D6)</f>
        <v/>
      </c>
    </row>
    <row r="89" spans="1:16" ht="60">
      <c r="A89" s="53" t="s">
        <v>28</v>
      </c>
      <c r="B89" s="3" t="s">
        <v>57</v>
      </c>
      <c r="C89" s="9" t="s">
        <v>58</v>
      </c>
      <c r="D89" s="3" t="s">
        <v>59</v>
      </c>
      <c r="E89" s="3" t="s">
        <v>60</v>
      </c>
      <c r="F89" s="53"/>
      <c r="G89" s="53"/>
      <c r="H89" s="53"/>
      <c r="I89" s="54"/>
      <c r="J89" s="53"/>
      <c r="K89" s="53"/>
      <c r="L89" s="53"/>
      <c r="M89" s="53"/>
      <c r="N89" s="54"/>
      <c r="O89" s="53" t="str">
        <f>IF('Review Register'!M6="","",'Review Register'!M6)</f>
        <v/>
      </c>
      <c r="P89" s="53" t="str">
        <f>IF('Review Register'!D6="","",'Review Register'!D6)</f>
        <v/>
      </c>
    </row>
    <row r="90" spans="1:16" ht="60">
      <c r="A90" s="53" t="s">
        <v>28</v>
      </c>
      <c r="B90" s="3" t="s">
        <v>57</v>
      </c>
      <c r="C90" s="9" t="s">
        <v>62</v>
      </c>
      <c r="D90" s="3" t="s">
        <v>63</v>
      </c>
      <c r="E90" s="3" t="s">
        <v>64</v>
      </c>
      <c r="F90" s="53"/>
      <c r="G90" s="53"/>
      <c r="H90" s="53"/>
      <c r="I90" s="54"/>
      <c r="J90" s="53"/>
      <c r="K90" s="53"/>
      <c r="L90" s="53"/>
      <c r="M90" s="53"/>
      <c r="N90" s="54"/>
      <c r="O90" s="53" t="str">
        <f>IF('Review Register'!M6="","",'Review Register'!M6)</f>
        <v/>
      </c>
      <c r="P90" s="53" t="str">
        <f>IF('Review Register'!D6="","",'Review Register'!D6)</f>
        <v/>
      </c>
    </row>
    <row r="91" spans="1:16" ht="75">
      <c r="A91" s="53" t="s">
        <v>28</v>
      </c>
      <c r="B91" s="3" t="s">
        <v>57</v>
      </c>
      <c r="C91" s="9" t="s">
        <v>66</v>
      </c>
      <c r="D91" s="3" t="s">
        <v>67</v>
      </c>
      <c r="E91" s="3" t="s">
        <v>68</v>
      </c>
      <c r="F91" s="53"/>
      <c r="G91" s="53"/>
      <c r="H91" s="53"/>
      <c r="I91" s="54"/>
      <c r="J91" s="53"/>
      <c r="K91" s="53"/>
      <c r="L91" s="53"/>
      <c r="M91" s="53"/>
      <c r="N91" s="54"/>
      <c r="O91" s="53" t="str">
        <f>IF('Review Register'!M6="","",'Review Register'!M6)</f>
        <v/>
      </c>
      <c r="P91" s="53" t="str">
        <f>IF('Review Register'!D6="","",'Review Register'!D6)</f>
        <v/>
      </c>
    </row>
    <row r="92" spans="1:16" ht="60">
      <c r="A92" s="53" t="s">
        <v>28</v>
      </c>
      <c r="B92" s="3" t="s">
        <v>70</v>
      </c>
      <c r="C92" s="9" t="s">
        <v>71</v>
      </c>
      <c r="D92" s="3" t="s">
        <v>532</v>
      </c>
      <c r="E92" s="3" t="s">
        <v>576</v>
      </c>
      <c r="F92" s="53"/>
      <c r="G92" s="53"/>
      <c r="H92" s="53"/>
      <c r="I92" s="54"/>
      <c r="J92" s="53"/>
      <c r="K92" s="53"/>
      <c r="L92" s="53"/>
      <c r="M92" s="53"/>
      <c r="N92" s="54"/>
      <c r="O92" s="53" t="str">
        <f>IF('Review Register'!M6="","",'Review Register'!M6)</f>
        <v/>
      </c>
      <c r="P92" s="53" t="str">
        <f>IF('Review Register'!D6="","",'Review Register'!D6)</f>
        <v/>
      </c>
    </row>
    <row r="93" spans="1:16" ht="60">
      <c r="A93" s="53" t="s">
        <v>28</v>
      </c>
      <c r="B93" s="3" t="s">
        <v>70</v>
      </c>
      <c r="C93" s="9" t="s">
        <v>74</v>
      </c>
      <c r="D93" s="3" t="s">
        <v>533</v>
      </c>
      <c r="E93" s="3" t="s">
        <v>577</v>
      </c>
      <c r="F93" s="53"/>
      <c r="G93" s="53"/>
      <c r="H93" s="53"/>
      <c r="I93" s="54"/>
      <c r="J93" s="53"/>
      <c r="K93" s="53"/>
      <c r="L93" s="53"/>
      <c r="M93" s="53"/>
      <c r="N93" s="54"/>
      <c r="O93" s="53" t="str">
        <f>IF('Review Register'!M6="","",'Review Register'!M6)</f>
        <v/>
      </c>
      <c r="P93" s="53" t="str">
        <f>IF('Review Register'!D6="","",'Review Register'!D6)</f>
        <v/>
      </c>
    </row>
    <row r="94" spans="1:16" ht="75">
      <c r="A94" s="53" t="s">
        <v>28</v>
      </c>
      <c r="B94" s="3" t="s">
        <v>70</v>
      </c>
      <c r="C94" s="9" t="s">
        <v>78</v>
      </c>
      <c r="D94" s="3" t="s">
        <v>534</v>
      </c>
      <c r="E94" s="3" t="s">
        <v>578</v>
      </c>
      <c r="F94" s="53"/>
      <c r="G94" s="53"/>
      <c r="H94" s="53"/>
      <c r="I94" s="54"/>
      <c r="J94" s="53"/>
      <c r="K94" s="53"/>
      <c r="L94" s="53"/>
      <c r="M94" s="53"/>
      <c r="N94" s="54"/>
      <c r="O94" s="53" t="str">
        <f>IF('Review Register'!M6="","",'Review Register'!M6)</f>
        <v/>
      </c>
      <c r="P94" s="53" t="str">
        <f>IF('Review Register'!D6="","",'Review Register'!D6)</f>
        <v/>
      </c>
    </row>
    <row r="95" spans="1:16" ht="60">
      <c r="A95" s="53" t="s">
        <v>28</v>
      </c>
      <c r="B95" s="3" t="s">
        <v>82</v>
      </c>
      <c r="C95" s="9" t="s">
        <v>83</v>
      </c>
      <c r="D95" s="3" t="s">
        <v>84</v>
      </c>
      <c r="E95" s="3" t="s">
        <v>579</v>
      </c>
      <c r="F95" s="53"/>
      <c r="G95" s="53"/>
      <c r="H95" s="53"/>
      <c r="I95" s="54"/>
      <c r="J95" s="53"/>
      <c r="K95" s="53"/>
      <c r="L95" s="53"/>
      <c r="M95" s="53"/>
      <c r="N95" s="54"/>
      <c r="O95" s="53" t="str">
        <f>IF('Review Register'!M6="","",'Review Register'!M6)</f>
        <v/>
      </c>
      <c r="P95" s="53" t="str">
        <f>IF('Review Register'!D6="","",'Review Register'!D6)</f>
        <v/>
      </c>
    </row>
    <row r="96" spans="1:16" ht="60">
      <c r="A96" s="53" t="s">
        <v>28</v>
      </c>
      <c r="B96" s="3" t="s">
        <v>82</v>
      </c>
      <c r="C96" s="9" t="s">
        <v>87</v>
      </c>
      <c r="D96" s="3" t="s">
        <v>88</v>
      </c>
      <c r="E96" s="3" t="s">
        <v>89</v>
      </c>
      <c r="F96" s="53"/>
      <c r="G96" s="53"/>
      <c r="H96" s="53"/>
      <c r="I96" s="54"/>
      <c r="J96" s="53"/>
      <c r="K96" s="53"/>
      <c r="L96" s="53"/>
      <c r="M96" s="53"/>
      <c r="N96" s="54"/>
      <c r="O96" s="53" t="str">
        <f>IF('Review Register'!M6="","",'Review Register'!M6)</f>
        <v/>
      </c>
      <c r="P96" s="53" t="str">
        <f>IF('Review Register'!D6="","",'Review Register'!D6)</f>
        <v/>
      </c>
    </row>
    <row r="97" spans="1:16" ht="45">
      <c r="A97" s="53" t="s">
        <v>28</v>
      </c>
      <c r="B97" s="3" t="s">
        <v>82</v>
      </c>
      <c r="C97" s="9" t="s">
        <v>91</v>
      </c>
      <c r="D97" s="3" t="s">
        <v>92</v>
      </c>
      <c r="E97" s="3" t="s">
        <v>93</v>
      </c>
      <c r="F97" s="53"/>
      <c r="G97" s="53"/>
      <c r="H97" s="53"/>
      <c r="I97" s="54"/>
      <c r="J97" s="53"/>
      <c r="K97" s="53"/>
      <c r="L97" s="53"/>
      <c r="M97" s="53"/>
      <c r="N97" s="54"/>
      <c r="O97" s="53" t="str">
        <f>IF('Review Register'!M6="","",'Review Register'!M6)</f>
        <v/>
      </c>
      <c r="P97" s="53" t="str">
        <f>IF('Review Register'!D6="","",'Review Register'!D6)</f>
        <v/>
      </c>
    </row>
    <row r="98" spans="1:16" ht="60">
      <c r="A98" s="53" t="s">
        <v>28</v>
      </c>
      <c r="B98" s="3" t="s">
        <v>95</v>
      </c>
      <c r="C98" s="9" t="s">
        <v>96</v>
      </c>
      <c r="D98" s="3" t="s">
        <v>97</v>
      </c>
      <c r="E98" s="3" t="s">
        <v>580</v>
      </c>
      <c r="F98" s="53"/>
      <c r="G98" s="53"/>
      <c r="H98" s="53"/>
      <c r="I98" s="54"/>
      <c r="J98" s="53"/>
      <c r="K98" s="53"/>
      <c r="L98" s="53"/>
      <c r="M98" s="53"/>
      <c r="N98" s="54"/>
      <c r="O98" s="53" t="str">
        <f>IF('Review Register'!M6="","",'Review Register'!M6)</f>
        <v/>
      </c>
      <c r="P98" s="53" t="str">
        <f>IF('Review Register'!D6="","",'Review Register'!D6)</f>
        <v/>
      </c>
    </row>
    <row r="99" spans="1:16" ht="60">
      <c r="A99" s="53" t="s">
        <v>28</v>
      </c>
      <c r="B99" s="3" t="s">
        <v>95</v>
      </c>
      <c r="C99" s="9" t="s">
        <v>100</v>
      </c>
      <c r="D99" s="3" t="s">
        <v>101</v>
      </c>
      <c r="E99" s="3" t="s">
        <v>102</v>
      </c>
      <c r="F99" s="53"/>
      <c r="G99" s="53"/>
      <c r="H99" s="53"/>
      <c r="I99" s="54"/>
      <c r="J99" s="53"/>
      <c r="K99" s="53"/>
      <c r="L99" s="53"/>
      <c r="M99" s="53"/>
      <c r="N99" s="54"/>
      <c r="O99" s="53" t="str">
        <f>IF('Review Register'!M6="","",'Review Register'!M6)</f>
        <v/>
      </c>
      <c r="P99" s="53" t="str">
        <f>IF('Review Register'!D6="","",'Review Register'!D6)</f>
        <v/>
      </c>
    </row>
    <row r="100" spans="1:16" ht="45">
      <c r="A100" s="53" t="s">
        <v>28</v>
      </c>
      <c r="B100" s="3" t="s">
        <v>95</v>
      </c>
      <c r="C100" s="9" t="s">
        <v>104</v>
      </c>
      <c r="D100" s="3" t="s">
        <v>105</v>
      </c>
      <c r="E100" s="3" t="s">
        <v>106</v>
      </c>
      <c r="F100" s="53"/>
      <c r="G100" s="53"/>
      <c r="H100" s="53"/>
      <c r="I100" s="54"/>
      <c r="J100" s="53"/>
      <c r="K100" s="53"/>
      <c r="L100" s="53"/>
      <c r="M100" s="53"/>
      <c r="N100" s="54"/>
      <c r="O100" s="53" t="str">
        <f>IF('Review Register'!M6="","",'Review Register'!M6)</f>
        <v/>
      </c>
      <c r="P100" s="53" t="str">
        <f>IF('Review Register'!D6="","",'Review Register'!D6)</f>
        <v/>
      </c>
    </row>
    <row r="101" spans="1:16" ht="45">
      <c r="A101" s="53" t="s">
        <v>28</v>
      </c>
      <c r="B101" s="3" t="s">
        <v>108</v>
      </c>
      <c r="C101" s="9" t="s">
        <v>109</v>
      </c>
      <c r="D101" s="3" t="s">
        <v>110</v>
      </c>
      <c r="E101" s="3" t="s">
        <v>111</v>
      </c>
      <c r="F101" s="53"/>
      <c r="G101" s="53"/>
      <c r="H101" s="53"/>
      <c r="I101" s="54"/>
      <c r="J101" s="53"/>
      <c r="K101" s="53"/>
      <c r="L101" s="53"/>
      <c r="M101" s="53"/>
      <c r="N101" s="54"/>
      <c r="O101" s="53" t="str">
        <f>IF('Review Register'!M6="","",'Review Register'!M6)</f>
        <v/>
      </c>
      <c r="P101" s="53" t="str">
        <f>IF('Review Register'!D6="","",'Review Register'!D6)</f>
        <v/>
      </c>
    </row>
    <row r="102" spans="1:16" ht="60">
      <c r="A102" s="53" t="s">
        <v>28</v>
      </c>
      <c r="B102" s="3" t="s">
        <v>108</v>
      </c>
      <c r="C102" s="9" t="s">
        <v>113</v>
      </c>
      <c r="D102" s="3" t="s">
        <v>114</v>
      </c>
      <c r="E102" s="3" t="s">
        <v>115</v>
      </c>
      <c r="F102" s="53"/>
      <c r="G102" s="53"/>
      <c r="H102" s="53"/>
      <c r="I102" s="54"/>
      <c r="J102" s="53"/>
      <c r="K102" s="53"/>
      <c r="L102" s="53"/>
      <c r="M102" s="53"/>
      <c r="N102" s="54"/>
      <c r="O102" s="53" t="str">
        <f>IF('Review Register'!M6="","",'Review Register'!M6)</f>
        <v/>
      </c>
      <c r="P102" s="53" t="str">
        <f>IF('Review Register'!D6="","",'Review Register'!D6)</f>
        <v/>
      </c>
    </row>
    <row r="103" spans="1:16" ht="45">
      <c r="A103" s="53" t="s">
        <v>28</v>
      </c>
      <c r="B103" s="3" t="s">
        <v>108</v>
      </c>
      <c r="C103" s="9" t="s">
        <v>117</v>
      </c>
      <c r="D103" s="3" t="s">
        <v>118</v>
      </c>
      <c r="E103" s="3" t="s">
        <v>119</v>
      </c>
      <c r="F103" s="53"/>
      <c r="G103" s="53"/>
      <c r="H103" s="53"/>
      <c r="I103" s="54"/>
      <c r="J103" s="53"/>
      <c r="K103" s="53"/>
      <c r="L103" s="53"/>
      <c r="M103" s="53"/>
      <c r="N103" s="54"/>
      <c r="O103" s="53" t="str">
        <f>IF('Review Register'!M6="","",'Review Register'!M6)</f>
        <v/>
      </c>
      <c r="P103" s="53" t="str">
        <f>IF('Review Register'!D6="","",'Review Register'!D6)</f>
        <v/>
      </c>
    </row>
    <row r="104" spans="1:16" ht="45">
      <c r="A104" s="53" t="s">
        <v>28</v>
      </c>
      <c r="B104" s="3" t="s">
        <v>121</v>
      </c>
      <c r="C104" s="9" t="s">
        <v>122</v>
      </c>
      <c r="D104" s="3" t="s">
        <v>123</v>
      </c>
      <c r="E104" s="3" t="s">
        <v>124</v>
      </c>
      <c r="F104" s="53"/>
      <c r="G104" s="53"/>
      <c r="H104" s="53"/>
      <c r="I104" s="54"/>
      <c r="J104" s="53"/>
      <c r="K104" s="53"/>
      <c r="L104" s="53"/>
      <c r="M104" s="53"/>
      <c r="N104" s="54"/>
      <c r="O104" s="53" t="str">
        <f>IF('Review Register'!M6="","",'Review Register'!M6)</f>
        <v/>
      </c>
      <c r="P104" s="53" t="str">
        <f>IF('Review Register'!D6="","",'Review Register'!D6)</f>
        <v/>
      </c>
    </row>
    <row r="105" spans="1:16" ht="60">
      <c r="A105" s="53" t="s">
        <v>28</v>
      </c>
      <c r="B105" s="3" t="s">
        <v>121</v>
      </c>
      <c r="C105" s="9" t="s">
        <v>126</v>
      </c>
      <c r="D105" s="3" t="s">
        <v>127</v>
      </c>
      <c r="E105" s="3" t="s">
        <v>128</v>
      </c>
      <c r="F105" s="53"/>
      <c r="G105" s="53"/>
      <c r="H105" s="53"/>
      <c r="I105" s="54"/>
      <c r="J105" s="53"/>
      <c r="K105" s="53"/>
      <c r="L105" s="53"/>
      <c r="M105" s="53"/>
      <c r="N105" s="54"/>
      <c r="O105" s="53" t="str">
        <f>IF('Review Register'!M6="","",'Review Register'!M6)</f>
        <v/>
      </c>
      <c r="P105" s="53" t="str">
        <f>IF('Review Register'!D6="","",'Review Register'!D6)</f>
        <v/>
      </c>
    </row>
    <row r="106" spans="1:16" ht="75">
      <c r="A106" s="53" t="s">
        <v>28</v>
      </c>
      <c r="B106" s="3" t="s">
        <v>121</v>
      </c>
      <c r="C106" s="9" t="s">
        <v>130</v>
      </c>
      <c r="D106" s="3" t="s">
        <v>131</v>
      </c>
      <c r="E106" s="3" t="s">
        <v>132</v>
      </c>
      <c r="F106" s="53"/>
      <c r="G106" s="53"/>
      <c r="H106" s="53"/>
      <c r="I106" s="54"/>
      <c r="J106" s="53"/>
      <c r="K106" s="53"/>
      <c r="L106" s="53"/>
      <c r="M106" s="53"/>
      <c r="N106" s="54"/>
      <c r="O106" s="53" t="str">
        <f>IF('Review Register'!M6="","",'Review Register'!M6)</f>
        <v/>
      </c>
      <c r="P106" s="53" t="str">
        <f>IF('Review Register'!D6="","",'Review Register'!D6)</f>
        <v/>
      </c>
    </row>
    <row r="107" spans="1:16">
      <c r="A107" s="53"/>
      <c r="B107" s="3"/>
      <c r="C107" s="9"/>
      <c r="D107" s="3"/>
      <c r="E107" s="3"/>
      <c r="F107" s="53"/>
      <c r="G107" s="53"/>
      <c r="H107" s="53"/>
      <c r="I107" s="54"/>
      <c r="J107" s="53"/>
      <c r="K107" s="53"/>
      <c r="L107" s="53"/>
      <c r="M107" s="53"/>
      <c r="N107" s="54"/>
      <c r="O107" s="53"/>
      <c r="P107" s="53"/>
    </row>
    <row r="108" spans="1:16">
      <c r="A108" s="53"/>
      <c r="B108" s="3"/>
      <c r="C108" s="9"/>
      <c r="D108" s="3"/>
      <c r="E108" s="3"/>
      <c r="F108" s="53"/>
      <c r="G108" s="53"/>
      <c r="H108" s="53"/>
      <c r="I108" s="54"/>
      <c r="J108" s="53"/>
      <c r="K108" s="53"/>
      <c r="L108" s="53"/>
      <c r="M108" s="53"/>
      <c r="N108" s="54"/>
      <c r="O108" s="53"/>
      <c r="P108" s="53"/>
    </row>
    <row r="109" spans="1:16">
      <c r="A109" s="53"/>
      <c r="B109" s="3"/>
      <c r="C109" s="9"/>
      <c r="D109" s="3"/>
      <c r="E109" s="3"/>
      <c r="F109" s="53"/>
      <c r="G109" s="53"/>
      <c r="H109" s="53"/>
      <c r="I109" s="54"/>
      <c r="J109" s="53"/>
      <c r="K109" s="53"/>
      <c r="L109" s="53"/>
      <c r="M109" s="53"/>
      <c r="N109" s="54"/>
      <c r="O109" s="53"/>
      <c r="P109" s="53"/>
    </row>
    <row r="110" spans="1:16">
      <c r="A110" s="53"/>
      <c r="B110" s="3"/>
      <c r="C110" s="9"/>
      <c r="D110" s="3"/>
      <c r="E110" s="3"/>
      <c r="F110" s="53"/>
      <c r="G110" s="53"/>
      <c r="H110" s="53"/>
      <c r="I110" s="54"/>
      <c r="J110" s="53"/>
      <c r="K110" s="53"/>
      <c r="L110" s="53"/>
      <c r="M110" s="53"/>
      <c r="N110" s="54"/>
      <c r="O110" s="53"/>
      <c r="P110" s="53"/>
    </row>
    <row r="111" spans="1:16">
      <c r="A111" s="53"/>
      <c r="B111" s="3"/>
      <c r="C111" s="9"/>
      <c r="D111" s="3"/>
      <c r="E111" s="3"/>
      <c r="F111" s="53"/>
      <c r="G111" s="53"/>
      <c r="H111" s="53"/>
      <c r="I111" s="54"/>
      <c r="J111" s="53"/>
      <c r="K111" s="53"/>
      <c r="L111" s="53"/>
      <c r="M111" s="53"/>
      <c r="N111" s="54"/>
      <c r="O111" s="53"/>
      <c r="P111" s="53"/>
    </row>
    <row r="112" spans="1:16">
      <c r="A112" s="53"/>
      <c r="B112" s="3"/>
      <c r="C112" s="9"/>
      <c r="D112" s="3"/>
      <c r="E112" s="3"/>
      <c r="F112" s="53"/>
      <c r="G112" s="53"/>
      <c r="H112" s="53"/>
      <c r="I112" s="54"/>
      <c r="J112" s="53"/>
      <c r="K112" s="53"/>
      <c r="L112" s="53"/>
      <c r="M112" s="53"/>
      <c r="N112" s="54"/>
      <c r="O112" s="53"/>
      <c r="P112" s="53"/>
    </row>
    <row r="113" spans="1:16">
      <c r="A113" s="53"/>
      <c r="B113" s="3"/>
      <c r="C113" s="9"/>
      <c r="D113" s="3"/>
      <c r="E113" s="3"/>
      <c r="F113" s="53"/>
      <c r="G113" s="53"/>
      <c r="H113" s="53"/>
      <c r="I113" s="54"/>
      <c r="J113" s="53"/>
      <c r="K113" s="53"/>
      <c r="L113" s="53"/>
      <c r="M113" s="53"/>
      <c r="N113" s="54"/>
      <c r="O113" s="53"/>
      <c r="P113" s="53"/>
    </row>
    <row r="114" spans="1:16">
      <c r="A114" s="53"/>
      <c r="B114" s="3"/>
      <c r="C114" s="9"/>
      <c r="D114" s="3"/>
      <c r="E114" s="3"/>
      <c r="F114" s="53"/>
      <c r="G114" s="53"/>
      <c r="H114" s="53"/>
      <c r="I114" s="54"/>
      <c r="J114" s="53"/>
      <c r="K114" s="53"/>
      <c r="L114" s="53"/>
      <c r="M114" s="53"/>
      <c r="N114" s="54"/>
      <c r="O114" s="53"/>
      <c r="P114" s="53"/>
    </row>
    <row r="115" spans="1:16">
      <c r="A115" s="53"/>
      <c r="B115" s="3"/>
      <c r="C115" s="9"/>
      <c r="D115" s="3"/>
      <c r="E115" s="3"/>
      <c r="F115" s="53"/>
      <c r="G115" s="53"/>
      <c r="H115" s="53"/>
      <c r="I115" s="54"/>
      <c r="J115" s="53"/>
      <c r="K115" s="53"/>
      <c r="L115" s="53"/>
      <c r="M115" s="53"/>
      <c r="N115" s="54"/>
      <c r="O115" s="53"/>
      <c r="P115" s="53"/>
    </row>
    <row r="116" spans="1:16">
      <c r="A116" s="53"/>
      <c r="B116" s="3"/>
      <c r="C116" s="9"/>
      <c r="D116" s="3"/>
      <c r="E116" s="3"/>
      <c r="F116" s="53"/>
      <c r="G116" s="53"/>
      <c r="H116" s="53"/>
      <c r="I116" s="54"/>
      <c r="J116" s="53"/>
      <c r="K116" s="53"/>
      <c r="L116" s="53"/>
      <c r="M116" s="53"/>
      <c r="N116" s="54"/>
      <c r="O116" s="53"/>
      <c r="P116" s="53"/>
    </row>
    <row r="117" spans="1:16">
      <c r="A117" s="53"/>
      <c r="B117" s="3"/>
      <c r="C117" s="9"/>
      <c r="D117" s="3"/>
      <c r="E117" s="3"/>
      <c r="F117" s="53"/>
      <c r="G117" s="53"/>
      <c r="H117" s="53"/>
      <c r="I117" s="54"/>
      <c r="J117" s="53"/>
      <c r="K117" s="53"/>
      <c r="L117" s="53"/>
      <c r="M117" s="53"/>
      <c r="N117" s="54"/>
      <c r="O117" s="53"/>
      <c r="P117" s="53"/>
    </row>
    <row r="118" spans="1:16">
      <c r="A118" s="53"/>
      <c r="B118" s="3"/>
      <c r="C118" s="9"/>
      <c r="D118" s="3"/>
      <c r="E118" s="3"/>
      <c r="F118" s="53"/>
      <c r="G118" s="53"/>
      <c r="H118" s="53"/>
      <c r="I118" s="54"/>
      <c r="J118" s="53"/>
      <c r="K118" s="53"/>
      <c r="L118" s="53"/>
      <c r="M118" s="53"/>
      <c r="N118" s="54"/>
      <c r="O118" s="53"/>
      <c r="P118" s="53"/>
    </row>
    <row r="119" spans="1:16">
      <c r="A119" s="53"/>
      <c r="B119" s="3"/>
      <c r="C119" s="9"/>
      <c r="D119" s="3"/>
      <c r="E119" s="3"/>
      <c r="F119" s="53"/>
      <c r="G119" s="53"/>
      <c r="H119" s="53"/>
      <c r="I119" s="54"/>
      <c r="J119" s="53"/>
      <c r="K119" s="53"/>
      <c r="L119" s="53"/>
      <c r="M119" s="53"/>
      <c r="N119" s="54"/>
      <c r="O119" s="53"/>
      <c r="P119" s="53"/>
    </row>
    <row r="120" spans="1:16">
      <c r="A120" s="53"/>
      <c r="B120" s="3"/>
      <c r="C120" s="9"/>
      <c r="D120" s="3"/>
      <c r="E120" s="3"/>
      <c r="F120" s="53"/>
      <c r="G120" s="53"/>
      <c r="H120" s="53"/>
      <c r="I120" s="54"/>
      <c r="J120" s="53"/>
      <c r="K120" s="53"/>
      <c r="L120" s="53"/>
      <c r="M120" s="53"/>
      <c r="N120" s="54"/>
      <c r="O120" s="53"/>
      <c r="P120" s="53"/>
    </row>
    <row r="121" spans="1:16">
      <c r="A121" s="53"/>
      <c r="B121" s="3"/>
      <c r="C121" s="9"/>
      <c r="D121" s="3"/>
      <c r="E121" s="3"/>
      <c r="F121" s="53"/>
      <c r="G121" s="53"/>
      <c r="H121" s="53"/>
      <c r="I121" s="54"/>
      <c r="J121" s="53"/>
      <c r="K121" s="53"/>
      <c r="L121" s="53"/>
      <c r="M121" s="53"/>
      <c r="N121" s="54"/>
      <c r="O121" s="53"/>
      <c r="P121" s="53"/>
    </row>
    <row r="122" spans="1:16">
      <c r="A122" s="53"/>
      <c r="B122" s="3"/>
      <c r="C122" s="9"/>
      <c r="D122" s="3"/>
      <c r="E122" s="3"/>
      <c r="F122" s="53"/>
      <c r="G122" s="53"/>
      <c r="H122" s="53"/>
      <c r="I122" s="54"/>
      <c r="J122" s="53"/>
      <c r="K122" s="53"/>
      <c r="L122" s="53"/>
      <c r="M122" s="53"/>
      <c r="N122" s="54"/>
      <c r="O122" s="53"/>
      <c r="P122" s="53"/>
    </row>
    <row r="123" spans="1:16">
      <c r="A123" s="53"/>
      <c r="B123" s="3"/>
      <c r="C123" s="9"/>
      <c r="D123" s="3"/>
      <c r="E123" s="3"/>
      <c r="F123" s="53"/>
      <c r="G123" s="53"/>
      <c r="H123" s="53"/>
      <c r="I123" s="54"/>
      <c r="J123" s="53"/>
      <c r="K123" s="53"/>
      <c r="L123" s="53"/>
      <c r="M123" s="53"/>
      <c r="N123" s="54"/>
      <c r="O123" s="53"/>
      <c r="P123" s="53"/>
    </row>
    <row r="124" spans="1:16">
      <c r="A124" s="53"/>
      <c r="B124" s="3"/>
      <c r="C124" s="9"/>
      <c r="D124" s="3"/>
      <c r="E124" s="3"/>
      <c r="F124" s="53"/>
      <c r="G124" s="53"/>
      <c r="H124" s="53"/>
      <c r="I124" s="54"/>
      <c r="J124" s="53"/>
      <c r="K124" s="53"/>
      <c r="L124" s="53"/>
      <c r="M124" s="53"/>
      <c r="N124" s="54"/>
      <c r="O124" s="53"/>
      <c r="P124" s="53"/>
    </row>
    <row r="125" spans="1:16">
      <c r="A125" s="53"/>
      <c r="B125" s="3"/>
      <c r="C125" s="9"/>
      <c r="D125" s="3"/>
      <c r="E125" s="3"/>
      <c r="F125" s="53"/>
      <c r="G125" s="53"/>
      <c r="H125" s="53"/>
      <c r="I125" s="54"/>
      <c r="J125" s="53"/>
      <c r="K125" s="53"/>
      <c r="L125" s="53"/>
      <c r="M125" s="53"/>
      <c r="N125" s="54"/>
      <c r="O125" s="53"/>
      <c r="P125" s="53"/>
    </row>
    <row r="126" spans="1:16">
      <c r="A126" s="53"/>
      <c r="B126" s="3"/>
      <c r="C126" s="9"/>
      <c r="D126" s="3"/>
      <c r="E126" s="3"/>
      <c r="F126" s="53"/>
      <c r="G126" s="53"/>
      <c r="H126" s="53"/>
      <c r="I126" s="54"/>
      <c r="J126" s="53"/>
      <c r="K126" s="53"/>
      <c r="L126" s="53"/>
      <c r="M126" s="53"/>
      <c r="N126" s="54"/>
      <c r="O126" s="53"/>
      <c r="P126" s="53"/>
    </row>
    <row r="127" spans="1:16">
      <c r="A127" s="53"/>
      <c r="B127" s="3"/>
      <c r="C127" s="9"/>
      <c r="D127" s="3"/>
      <c r="E127" s="3"/>
      <c r="F127" s="53"/>
      <c r="G127" s="53"/>
      <c r="H127" s="53"/>
      <c r="I127" s="54"/>
      <c r="J127" s="53"/>
      <c r="K127" s="53"/>
      <c r="L127" s="53"/>
      <c r="M127" s="53"/>
      <c r="N127" s="54"/>
      <c r="O127" s="53"/>
      <c r="P127" s="53"/>
    </row>
    <row r="128" spans="1:16">
      <c r="A128" s="53"/>
      <c r="B128" s="3"/>
      <c r="C128" s="9"/>
      <c r="D128" s="3"/>
      <c r="E128" s="3"/>
      <c r="F128" s="53"/>
      <c r="G128" s="53"/>
      <c r="H128" s="53"/>
      <c r="I128" s="54"/>
      <c r="J128" s="53"/>
      <c r="K128" s="53"/>
      <c r="L128" s="53"/>
      <c r="M128" s="53"/>
      <c r="N128" s="54"/>
      <c r="O128" s="53"/>
      <c r="P128" s="53"/>
    </row>
    <row r="129" spans="1:16">
      <c r="A129" s="53"/>
      <c r="B129" s="3"/>
      <c r="C129" s="9"/>
      <c r="D129" s="3"/>
      <c r="E129" s="3"/>
      <c r="F129" s="53"/>
      <c r="G129" s="53"/>
      <c r="H129" s="53"/>
      <c r="I129" s="54"/>
      <c r="J129" s="53"/>
      <c r="K129" s="53"/>
      <c r="L129" s="53"/>
      <c r="M129" s="53"/>
      <c r="N129" s="54"/>
      <c r="O129" s="53"/>
      <c r="P129" s="53"/>
    </row>
    <row r="130" spans="1:16">
      <c r="A130" s="53"/>
      <c r="B130" s="3"/>
      <c r="C130" s="9"/>
      <c r="D130" s="3"/>
      <c r="E130" s="3"/>
      <c r="F130" s="53"/>
      <c r="G130" s="53"/>
      <c r="H130" s="53"/>
      <c r="I130" s="54"/>
      <c r="J130" s="53"/>
      <c r="K130" s="53"/>
      <c r="L130" s="53"/>
      <c r="M130" s="53"/>
      <c r="N130" s="54"/>
      <c r="O130" s="53"/>
      <c r="P130" s="53"/>
    </row>
    <row r="131" spans="1:16">
      <c r="A131" s="53"/>
      <c r="B131" s="3"/>
      <c r="C131" s="9"/>
      <c r="D131" s="3"/>
      <c r="E131" s="3"/>
      <c r="F131" s="53"/>
      <c r="G131" s="53"/>
      <c r="H131" s="53"/>
      <c r="I131" s="54"/>
      <c r="J131" s="53"/>
      <c r="K131" s="53"/>
      <c r="L131" s="53"/>
      <c r="M131" s="53"/>
      <c r="N131" s="54"/>
      <c r="O131" s="53"/>
      <c r="P131" s="53"/>
    </row>
    <row r="132" spans="1:16">
      <c r="A132" s="53"/>
      <c r="B132" s="3"/>
      <c r="C132" s="9"/>
      <c r="D132" s="3"/>
      <c r="E132" s="3"/>
      <c r="F132" s="53"/>
      <c r="G132" s="53"/>
      <c r="H132" s="53"/>
      <c r="I132" s="54"/>
      <c r="J132" s="53"/>
      <c r="K132" s="53"/>
      <c r="L132" s="53"/>
      <c r="M132" s="53"/>
      <c r="N132" s="54"/>
      <c r="O132" s="53"/>
      <c r="P132" s="53"/>
    </row>
    <row r="133" spans="1:16">
      <c r="A133" s="53"/>
      <c r="B133" s="3"/>
      <c r="C133" s="9"/>
      <c r="D133" s="3"/>
      <c r="E133" s="3"/>
      <c r="F133" s="53"/>
      <c r="G133" s="53"/>
      <c r="H133" s="53"/>
      <c r="I133" s="54"/>
      <c r="J133" s="53"/>
      <c r="K133" s="53"/>
      <c r="L133" s="53"/>
      <c r="M133" s="53"/>
      <c r="N133" s="54"/>
      <c r="O133" s="53"/>
      <c r="P133" s="53"/>
    </row>
    <row r="134" spans="1:16">
      <c r="A134" s="53"/>
      <c r="B134" s="3"/>
      <c r="C134" s="9"/>
      <c r="D134" s="3"/>
      <c r="E134" s="3"/>
      <c r="F134" s="53"/>
      <c r="G134" s="53"/>
      <c r="H134" s="53"/>
      <c r="I134" s="54"/>
      <c r="J134" s="53"/>
      <c r="K134" s="53"/>
      <c r="L134" s="53"/>
      <c r="M134" s="53"/>
      <c r="N134" s="54"/>
      <c r="O134" s="53"/>
      <c r="P134" s="53"/>
    </row>
    <row r="135" spans="1:16">
      <c r="A135" s="53"/>
      <c r="B135" s="3"/>
      <c r="C135" s="9"/>
      <c r="D135" s="3"/>
      <c r="E135" s="3"/>
      <c r="F135" s="53"/>
      <c r="G135" s="53"/>
      <c r="H135" s="53"/>
      <c r="I135" s="54"/>
      <c r="J135" s="53"/>
      <c r="K135" s="53"/>
      <c r="L135" s="53"/>
      <c r="M135" s="53"/>
      <c r="N135" s="54"/>
      <c r="O135" s="53"/>
      <c r="P135" s="53"/>
    </row>
    <row r="136" spans="1:16">
      <c r="A136" s="53"/>
      <c r="B136" s="3"/>
      <c r="C136" s="9"/>
      <c r="D136" s="3"/>
      <c r="E136" s="3"/>
      <c r="F136" s="53"/>
      <c r="G136" s="53"/>
      <c r="H136" s="53"/>
      <c r="I136" s="54"/>
      <c r="J136" s="53"/>
      <c r="K136" s="53"/>
      <c r="L136" s="53"/>
      <c r="M136" s="53"/>
      <c r="N136" s="54"/>
      <c r="O136" s="53"/>
      <c r="P136" s="53"/>
    </row>
    <row r="137" spans="1:16">
      <c r="A137" s="53"/>
      <c r="B137" s="3"/>
      <c r="C137" s="9"/>
      <c r="D137" s="3"/>
      <c r="E137" s="3"/>
      <c r="F137" s="53"/>
      <c r="G137" s="53"/>
      <c r="H137" s="53"/>
      <c r="I137" s="54"/>
      <c r="J137" s="53"/>
      <c r="K137" s="53"/>
      <c r="L137" s="53"/>
      <c r="M137" s="53"/>
      <c r="N137" s="54"/>
      <c r="O137" s="53"/>
      <c r="P137" s="53"/>
    </row>
    <row r="138" spans="1:16">
      <c r="A138" s="53"/>
      <c r="B138" s="3"/>
      <c r="C138" s="9"/>
      <c r="D138" s="3"/>
      <c r="E138" s="3"/>
      <c r="F138" s="53"/>
      <c r="G138" s="53"/>
      <c r="H138" s="53"/>
      <c r="I138" s="54"/>
      <c r="J138" s="53"/>
      <c r="K138" s="53"/>
      <c r="L138" s="53"/>
      <c r="M138" s="53"/>
      <c r="N138" s="54"/>
      <c r="O138" s="53"/>
      <c r="P138" s="53"/>
    </row>
    <row r="139" spans="1:16">
      <c r="A139" s="53"/>
      <c r="B139" s="3"/>
      <c r="C139" s="9"/>
      <c r="D139" s="3"/>
      <c r="E139" s="3"/>
      <c r="F139" s="53"/>
      <c r="G139" s="53"/>
      <c r="H139" s="53"/>
      <c r="I139" s="54"/>
      <c r="J139" s="53"/>
      <c r="K139" s="53"/>
      <c r="L139" s="53"/>
      <c r="M139" s="53"/>
      <c r="N139" s="54"/>
      <c r="O139" s="53"/>
      <c r="P139" s="53"/>
    </row>
    <row r="140" spans="1:16">
      <c r="A140" s="53"/>
      <c r="B140" s="3"/>
      <c r="C140" s="9"/>
      <c r="D140" s="3"/>
      <c r="E140" s="3"/>
      <c r="F140" s="53"/>
      <c r="G140" s="53"/>
      <c r="H140" s="53"/>
      <c r="I140" s="54"/>
      <c r="J140" s="53"/>
      <c r="K140" s="53"/>
      <c r="L140" s="53"/>
      <c r="M140" s="53"/>
      <c r="N140" s="54"/>
      <c r="O140" s="53"/>
      <c r="P140" s="53"/>
    </row>
    <row r="141" spans="1:16">
      <c r="A141" s="53"/>
      <c r="B141" s="3"/>
      <c r="C141" s="9"/>
      <c r="D141" s="3"/>
      <c r="E141" s="3"/>
      <c r="F141" s="53"/>
      <c r="G141" s="53"/>
      <c r="H141" s="53"/>
      <c r="I141" s="54"/>
      <c r="J141" s="53"/>
      <c r="K141" s="53"/>
      <c r="L141" s="53"/>
      <c r="M141" s="53"/>
      <c r="N141" s="54"/>
      <c r="O141" s="53"/>
      <c r="P141" s="53"/>
    </row>
    <row r="142" spans="1:16">
      <c r="A142" s="53"/>
      <c r="B142" s="3"/>
      <c r="C142" s="9"/>
      <c r="D142" s="3"/>
      <c r="E142" s="3"/>
      <c r="F142" s="53"/>
      <c r="G142" s="53"/>
      <c r="H142" s="53"/>
      <c r="I142" s="54"/>
      <c r="J142" s="53"/>
      <c r="K142" s="53"/>
      <c r="L142" s="53"/>
      <c r="M142" s="53"/>
      <c r="N142" s="54"/>
      <c r="O142" s="53"/>
      <c r="P142" s="53"/>
    </row>
    <row r="143" spans="1:16">
      <c r="A143" s="53"/>
      <c r="B143" s="3"/>
      <c r="C143" s="9"/>
      <c r="D143" s="3"/>
      <c r="E143" s="3"/>
      <c r="F143" s="53"/>
      <c r="G143" s="53"/>
      <c r="H143" s="53"/>
      <c r="I143" s="54"/>
      <c r="J143" s="53"/>
      <c r="K143" s="53"/>
      <c r="L143" s="53"/>
      <c r="M143" s="53"/>
      <c r="N143" s="54"/>
      <c r="O143" s="53"/>
      <c r="P143" s="53"/>
    </row>
    <row r="144" spans="1:16">
      <c r="A144" s="53"/>
      <c r="B144" s="3"/>
      <c r="C144" s="9"/>
      <c r="D144" s="3"/>
      <c r="E144" s="3"/>
      <c r="F144" s="53"/>
      <c r="G144" s="53"/>
      <c r="H144" s="53"/>
      <c r="I144" s="54"/>
      <c r="J144" s="53"/>
      <c r="K144" s="53"/>
      <c r="L144" s="53"/>
      <c r="M144" s="53"/>
      <c r="N144" s="54"/>
      <c r="O144" s="53"/>
      <c r="P144" s="53"/>
    </row>
    <row r="145" spans="1:16">
      <c r="A145" s="53"/>
      <c r="B145" s="3"/>
      <c r="C145" s="9"/>
      <c r="D145" s="3"/>
      <c r="E145" s="3"/>
      <c r="F145" s="53"/>
      <c r="G145" s="53"/>
      <c r="H145" s="53"/>
      <c r="I145" s="54"/>
      <c r="J145" s="53"/>
      <c r="K145" s="53"/>
      <c r="L145" s="53"/>
      <c r="M145" s="53"/>
      <c r="N145" s="54"/>
      <c r="O145" s="53"/>
      <c r="P145" s="53"/>
    </row>
    <row r="146" spans="1:16">
      <c r="A146" s="53"/>
      <c r="B146" s="3"/>
      <c r="C146" s="9"/>
      <c r="D146" s="3"/>
      <c r="E146" s="3"/>
      <c r="F146" s="53"/>
      <c r="G146" s="53"/>
      <c r="H146" s="53"/>
      <c r="I146" s="54"/>
      <c r="J146" s="53"/>
      <c r="K146" s="53"/>
      <c r="L146" s="53"/>
      <c r="M146" s="53"/>
      <c r="N146" s="54"/>
      <c r="O146" s="53"/>
      <c r="P146" s="53"/>
    </row>
    <row r="147" spans="1:16">
      <c r="A147" s="53"/>
      <c r="B147" s="3"/>
      <c r="C147" s="9"/>
      <c r="D147" s="3"/>
      <c r="E147" s="3"/>
      <c r="F147" s="53"/>
      <c r="G147" s="53"/>
      <c r="H147" s="53"/>
      <c r="I147" s="54"/>
      <c r="J147" s="53"/>
      <c r="K147" s="53"/>
      <c r="L147" s="53"/>
      <c r="M147" s="53"/>
      <c r="N147" s="54"/>
      <c r="O147" s="53"/>
      <c r="P147" s="53"/>
    </row>
    <row r="148" spans="1:16">
      <c r="A148" s="53"/>
      <c r="B148" s="3"/>
      <c r="C148" s="9"/>
      <c r="D148" s="3"/>
      <c r="E148" s="3"/>
      <c r="F148" s="53"/>
      <c r="G148" s="53"/>
      <c r="H148" s="53"/>
      <c r="I148" s="54"/>
      <c r="J148" s="53"/>
      <c r="K148" s="53"/>
      <c r="L148" s="53"/>
      <c r="M148" s="53"/>
      <c r="N148" s="54"/>
      <c r="O148" s="53"/>
      <c r="P148" s="53"/>
    </row>
    <row r="149" spans="1:16">
      <c r="A149" s="53"/>
      <c r="B149" s="3"/>
      <c r="C149" s="9"/>
      <c r="D149" s="3"/>
      <c r="E149" s="3"/>
      <c r="F149" s="53"/>
      <c r="G149" s="53"/>
      <c r="H149" s="53"/>
      <c r="I149" s="54"/>
      <c r="J149" s="53"/>
      <c r="K149" s="53"/>
      <c r="L149" s="53"/>
      <c r="M149" s="53"/>
      <c r="N149" s="54"/>
      <c r="O149" s="53"/>
      <c r="P149" s="53"/>
    </row>
    <row r="150" spans="1:16">
      <c r="A150" s="53"/>
      <c r="B150" s="3"/>
      <c r="C150" s="9"/>
      <c r="D150" s="3"/>
      <c r="E150" s="3"/>
      <c r="F150" s="53"/>
      <c r="G150" s="53"/>
      <c r="H150" s="53"/>
      <c r="I150" s="54"/>
      <c r="J150" s="53"/>
      <c r="K150" s="53"/>
      <c r="L150" s="53"/>
      <c r="M150" s="53"/>
      <c r="N150" s="54"/>
      <c r="O150" s="53"/>
      <c r="P150" s="53"/>
    </row>
    <row r="151" spans="1:16">
      <c r="A151" s="53"/>
      <c r="B151" s="3"/>
      <c r="C151" s="9"/>
      <c r="D151" s="3"/>
      <c r="E151" s="3"/>
      <c r="F151" s="53"/>
      <c r="G151" s="53"/>
      <c r="H151" s="53"/>
      <c r="I151" s="54"/>
      <c r="J151" s="53"/>
      <c r="K151" s="53"/>
      <c r="L151" s="53"/>
      <c r="M151" s="53"/>
      <c r="N151" s="54"/>
      <c r="O151" s="53"/>
      <c r="P151" s="53"/>
    </row>
    <row r="152" spans="1:16">
      <c r="A152" s="53"/>
      <c r="B152" s="3"/>
      <c r="C152" s="9"/>
      <c r="D152" s="3"/>
      <c r="E152" s="3"/>
      <c r="F152" s="53"/>
      <c r="G152" s="53"/>
      <c r="H152" s="53"/>
      <c r="I152" s="54"/>
      <c r="J152" s="53"/>
      <c r="K152" s="53"/>
      <c r="L152" s="53"/>
      <c r="M152" s="53"/>
      <c r="N152" s="54"/>
      <c r="O152" s="53"/>
      <c r="P152" s="53"/>
    </row>
    <row r="153" spans="1:16">
      <c r="A153" s="53"/>
      <c r="B153" s="3"/>
      <c r="C153" s="9"/>
      <c r="D153" s="3"/>
      <c r="E153" s="3"/>
      <c r="F153" s="53"/>
      <c r="G153" s="53"/>
      <c r="H153" s="53"/>
      <c r="I153" s="54"/>
      <c r="J153" s="53"/>
      <c r="K153" s="53"/>
      <c r="L153" s="53"/>
      <c r="M153" s="53"/>
      <c r="N153" s="54"/>
      <c r="O153" s="53"/>
      <c r="P153" s="53"/>
    </row>
    <row r="154" spans="1:16">
      <c r="A154" s="53"/>
      <c r="B154" s="3"/>
      <c r="C154" s="9"/>
      <c r="D154" s="3"/>
      <c r="E154" s="3"/>
      <c r="F154" s="53"/>
      <c r="G154" s="53"/>
      <c r="H154" s="53"/>
      <c r="I154" s="54"/>
      <c r="J154" s="53"/>
      <c r="K154" s="53"/>
      <c r="L154" s="53"/>
      <c r="M154" s="53"/>
      <c r="N154" s="54"/>
      <c r="O154" s="53"/>
      <c r="P154" s="53"/>
    </row>
    <row r="155" spans="1:16">
      <c r="A155" s="53"/>
      <c r="B155" s="3"/>
      <c r="C155" s="9"/>
      <c r="D155" s="3"/>
      <c r="E155" s="3"/>
      <c r="F155" s="53"/>
      <c r="G155" s="53"/>
      <c r="H155" s="53"/>
      <c r="I155" s="54"/>
      <c r="J155" s="53"/>
      <c r="K155" s="53"/>
      <c r="L155" s="53"/>
      <c r="M155" s="53"/>
      <c r="N155" s="54"/>
      <c r="O155" s="53"/>
      <c r="P155" s="53"/>
    </row>
    <row r="156" spans="1:16">
      <c r="A156" s="53"/>
      <c r="B156" s="3"/>
      <c r="C156" s="9"/>
      <c r="D156" s="3"/>
      <c r="E156" s="3"/>
      <c r="F156" s="53"/>
      <c r="G156" s="53"/>
      <c r="H156" s="53"/>
      <c r="I156" s="54"/>
      <c r="J156" s="53"/>
      <c r="K156" s="53"/>
      <c r="L156" s="53"/>
      <c r="M156" s="53"/>
      <c r="N156" s="54"/>
      <c r="O156" s="53"/>
      <c r="P156" s="53"/>
    </row>
    <row r="157" spans="1:16">
      <c r="A157" s="53"/>
      <c r="B157" s="3"/>
      <c r="C157" s="9"/>
      <c r="D157" s="3"/>
      <c r="E157" s="3"/>
      <c r="F157" s="53"/>
      <c r="G157" s="53"/>
      <c r="H157" s="53"/>
      <c r="I157" s="54"/>
      <c r="J157" s="53"/>
      <c r="K157" s="53"/>
      <c r="L157" s="53"/>
      <c r="M157" s="53"/>
      <c r="N157" s="54"/>
      <c r="O157" s="53"/>
      <c r="P157" s="53"/>
    </row>
    <row r="158" spans="1:16">
      <c r="A158" s="53"/>
      <c r="B158" s="3"/>
      <c r="C158" s="9"/>
      <c r="D158" s="3"/>
      <c r="E158" s="3"/>
      <c r="F158" s="53"/>
      <c r="G158" s="53"/>
      <c r="H158" s="53"/>
      <c r="I158" s="54"/>
      <c r="J158" s="53"/>
      <c r="K158" s="53"/>
      <c r="L158" s="53"/>
      <c r="M158" s="53"/>
      <c r="N158" s="54"/>
      <c r="O158" s="53"/>
      <c r="P158" s="53"/>
    </row>
    <row r="159" spans="1:16">
      <c r="A159" s="53"/>
      <c r="B159" s="3"/>
      <c r="C159" s="9"/>
      <c r="D159" s="3"/>
      <c r="E159" s="3"/>
      <c r="F159" s="53"/>
      <c r="G159" s="53"/>
      <c r="H159" s="53"/>
      <c r="I159" s="54"/>
      <c r="J159" s="53"/>
      <c r="K159" s="53"/>
      <c r="L159" s="53"/>
      <c r="M159" s="53"/>
      <c r="N159" s="54"/>
      <c r="O159" s="53"/>
      <c r="P159" s="53"/>
    </row>
    <row r="160" spans="1:16">
      <c r="A160" s="53"/>
      <c r="B160" s="3"/>
      <c r="C160" s="9"/>
      <c r="D160" s="3"/>
      <c r="E160" s="3"/>
      <c r="F160" s="53"/>
      <c r="G160" s="53"/>
      <c r="H160" s="53"/>
      <c r="I160" s="54"/>
      <c r="J160" s="53"/>
      <c r="K160" s="53"/>
      <c r="L160" s="53"/>
      <c r="M160" s="53"/>
      <c r="N160" s="54"/>
      <c r="O160" s="53"/>
      <c r="P160" s="53"/>
    </row>
    <row r="161" spans="1:16">
      <c r="A161" s="53"/>
      <c r="B161" s="3"/>
      <c r="C161" s="9"/>
      <c r="D161" s="3"/>
      <c r="E161" s="3"/>
      <c r="F161" s="53"/>
      <c r="G161" s="53"/>
      <c r="H161" s="53"/>
      <c r="I161" s="54"/>
      <c r="J161" s="53"/>
      <c r="K161" s="53"/>
      <c r="L161" s="53"/>
      <c r="M161" s="53"/>
      <c r="N161" s="54"/>
      <c r="O161" s="53"/>
      <c r="P161" s="53"/>
    </row>
    <row r="162" spans="1:16">
      <c r="A162" s="53"/>
      <c r="B162" s="3"/>
      <c r="C162" s="9"/>
      <c r="D162" s="3"/>
      <c r="E162" s="3"/>
      <c r="F162" s="53"/>
      <c r="G162" s="53"/>
      <c r="H162" s="53"/>
      <c r="I162" s="54"/>
      <c r="J162" s="53"/>
      <c r="K162" s="53"/>
      <c r="L162" s="53"/>
      <c r="M162" s="53"/>
      <c r="N162" s="54"/>
      <c r="O162" s="53"/>
      <c r="P162" s="53"/>
    </row>
    <row r="163" spans="1:16">
      <c r="A163" s="53"/>
      <c r="B163" s="3"/>
      <c r="C163" s="9"/>
      <c r="D163" s="3"/>
      <c r="E163" s="3"/>
      <c r="F163" s="53"/>
      <c r="G163" s="53"/>
      <c r="H163" s="53"/>
      <c r="I163" s="54"/>
      <c r="J163" s="53"/>
      <c r="K163" s="53"/>
      <c r="L163" s="53"/>
      <c r="M163" s="53"/>
      <c r="N163" s="54"/>
      <c r="O163" s="53"/>
      <c r="P163" s="53"/>
    </row>
    <row r="164" spans="1:16">
      <c r="A164" s="53"/>
      <c r="B164" s="3"/>
      <c r="C164" s="9"/>
      <c r="D164" s="3"/>
      <c r="E164" s="3"/>
      <c r="F164" s="53"/>
      <c r="G164" s="53"/>
      <c r="H164" s="53"/>
      <c r="I164" s="54"/>
      <c r="J164" s="53"/>
      <c r="K164" s="53"/>
      <c r="L164" s="53"/>
      <c r="M164" s="53"/>
      <c r="N164" s="54"/>
      <c r="O164" s="53"/>
      <c r="P164" s="53"/>
    </row>
    <row r="165" spans="1:16">
      <c r="A165" s="53"/>
      <c r="B165" s="3"/>
      <c r="C165" s="9"/>
      <c r="D165" s="3"/>
      <c r="E165" s="3"/>
      <c r="F165" s="53"/>
      <c r="G165" s="53"/>
      <c r="H165" s="53"/>
      <c r="I165" s="54"/>
      <c r="J165" s="53"/>
      <c r="K165" s="53"/>
      <c r="L165" s="53"/>
      <c r="M165" s="53"/>
      <c r="N165" s="54"/>
      <c r="O165" s="53"/>
      <c r="P165" s="53"/>
    </row>
    <row r="166" spans="1:16">
      <c r="A166" s="53"/>
      <c r="B166" s="3"/>
      <c r="C166" s="9"/>
      <c r="D166" s="3"/>
      <c r="E166" s="3"/>
      <c r="F166" s="53"/>
      <c r="G166" s="53"/>
      <c r="H166" s="53"/>
      <c r="I166" s="54"/>
      <c r="J166" s="53"/>
      <c r="K166" s="53"/>
      <c r="L166" s="53"/>
      <c r="M166" s="53"/>
      <c r="N166" s="54"/>
      <c r="O166" s="53"/>
      <c r="P166" s="53"/>
    </row>
    <row r="167" spans="1:16">
      <c r="A167" s="53"/>
      <c r="B167" s="3"/>
      <c r="C167" s="9"/>
      <c r="D167" s="3"/>
      <c r="E167" s="3"/>
      <c r="F167" s="53"/>
      <c r="G167" s="53"/>
      <c r="H167" s="53"/>
      <c r="I167" s="54"/>
      <c r="J167" s="53"/>
      <c r="K167" s="53"/>
      <c r="L167" s="53"/>
      <c r="M167" s="53"/>
      <c r="N167" s="54"/>
      <c r="O167" s="53"/>
      <c r="P167" s="53"/>
    </row>
    <row r="168" spans="1:16">
      <c r="A168" s="53"/>
      <c r="B168" s="3"/>
      <c r="C168" s="9"/>
      <c r="D168" s="3"/>
      <c r="E168" s="3"/>
      <c r="F168" s="53"/>
      <c r="G168" s="53"/>
      <c r="H168" s="53"/>
      <c r="I168" s="54"/>
      <c r="J168" s="53"/>
      <c r="K168" s="53"/>
      <c r="L168" s="53"/>
      <c r="M168" s="53"/>
      <c r="N168" s="54"/>
      <c r="O168" s="53"/>
      <c r="P168" s="53"/>
    </row>
    <row r="169" spans="1:16">
      <c r="A169" s="53"/>
      <c r="B169" s="3"/>
      <c r="C169" s="9"/>
      <c r="D169" s="3"/>
      <c r="E169" s="3"/>
      <c r="F169" s="53"/>
      <c r="G169" s="53"/>
      <c r="H169" s="53"/>
      <c r="I169" s="54"/>
      <c r="J169" s="53"/>
      <c r="K169" s="53"/>
      <c r="L169" s="53"/>
      <c r="M169" s="53"/>
      <c r="N169" s="54"/>
      <c r="O169" s="53"/>
      <c r="P169" s="53"/>
    </row>
    <row r="170" spans="1:16">
      <c r="A170" s="53"/>
      <c r="B170" s="3"/>
      <c r="C170" s="9"/>
      <c r="D170" s="3"/>
      <c r="E170" s="3"/>
      <c r="F170" s="53"/>
      <c r="G170" s="53"/>
      <c r="H170" s="53"/>
      <c r="I170" s="54"/>
      <c r="J170" s="53"/>
      <c r="K170" s="53"/>
      <c r="L170" s="53"/>
      <c r="M170" s="53"/>
      <c r="N170" s="54"/>
      <c r="O170" s="53"/>
      <c r="P170" s="53"/>
    </row>
    <row r="171" spans="1:16">
      <c r="A171" s="53"/>
      <c r="B171" s="3"/>
      <c r="C171" s="9"/>
      <c r="D171" s="3"/>
      <c r="E171" s="3"/>
      <c r="F171" s="53"/>
      <c r="G171" s="53"/>
      <c r="H171" s="53"/>
      <c r="I171" s="54"/>
      <c r="J171" s="53"/>
      <c r="K171" s="53"/>
      <c r="L171" s="53"/>
      <c r="M171" s="53"/>
      <c r="N171" s="54"/>
      <c r="O171" s="53"/>
      <c r="P171" s="53"/>
    </row>
    <row r="172" spans="1:16">
      <c r="A172" s="53"/>
      <c r="B172" s="3"/>
      <c r="C172" s="9"/>
      <c r="D172" s="3"/>
      <c r="E172" s="3"/>
      <c r="F172" s="53"/>
      <c r="G172" s="53"/>
      <c r="H172" s="53"/>
      <c r="I172" s="54"/>
      <c r="J172" s="53"/>
      <c r="K172" s="53"/>
      <c r="L172" s="53"/>
      <c r="M172" s="53"/>
      <c r="N172" s="54"/>
      <c r="O172" s="53"/>
      <c r="P172" s="53"/>
    </row>
    <row r="173" spans="1:16">
      <c r="A173" s="53"/>
      <c r="B173" s="3"/>
      <c r="C173" s="9"/>
      <c r="D173" s="3"/>
      <c r="E173" s="3"/>
      <c r="F173" s="53"/>
      <c r="G173" s="53"/>
      <c r="H173" s="53"/>
      <c r="I173" s="54"/>
      <c r="J173" s="53"/>
      <c r="K173" s="53"/>
      <c r="L173" s="53"/>
      <c r="M173" s="53"/>
      <c r="N173" s="54"/>
      <c r="O173" s="53"/>
      <c r="P173" s="53"/>
    </row>
    <row r="174" spans="1:16">
      <c r="A174" s="53"/>
      <c r="B174" s="3"/>
      <c r="C174" s="9"/>
      <c r="D174" s="3"/>
      <c r="E174" s="3"/>
      <c r="F174" s="53"/>
      <c r="G174" s="53"/>
      <c r="H174" s="53"/>
      <c r="I174" s="54"/>
      <c r="J174" s="53"/>
      <c r="K174" s="53"/>
      <c r="L174" s="53"/>
      <c r="M174" s="53"/>
      <c r="N174" s="54"/>
      <c r="O174" s="53"/>
      <c r="P174" s="53"/>
    </row>
    <row r="175" spans="1:16">
      <c r="A175" s="53"/>
      <c r="B175" s="3"/>
      <c r="C175" s="9"/>
      <c r="D175" s="3"/>
      <c r="E175" s="3"/>
      <c r="F175" s="53"/>
      <c r="G175" s="53"/>
      <c r="H175" s="53"/>
      <c r="I175" s="54"/>
      <c r="J175" s="53"/>
      <c r="K175" s="53"/>
      <c r="L175" s="53"/>
      <c r="M175" s="53"/>
      <c r="N175" s="54"/>
      <c r="O175" s="53"/>
      <c r="P175" s="53"/>
    </row>
    <row r="176" spans="1:16">
      <c r="A176" s="53"/>
      <c r="B176" s="3"/>
      <c r="C176" s="9"/>
      <c r="D176" s="3"/>
      <c r="E176" s="3"/>
      <c r="F176" s="53"/>
      <c r="G176" s="53"/>
      <c r="H176" s="53"/>
      <c r="I176" s="54"/>
      <c r="J176" s="53"/>
      <c r="K176" s="53"/>
      <c r="L176" s="53"/>
      <c r="M176" s="53"/>
      <c r="N176" s="54"/>
      <c r="O176" s="53"/>
      <c r="P176" s="53"/>
    </row>
    <row r="177" spans="1:16">
      <c r="A177" s="53"/>
      <c r="B177" s="3"/>
      <c r="C177" s="9"/>
      <c r="D177" s="3"/>
      <c r="E177" s="3"/>
      <c r="F177" s="53"/>
      <c r="G177" s="53"/>
      <c r="H177" s="53"/>
      <c r="I177" s="54"/>
      <c r="J177" s="53"/>
      <c r="K177" s="53"/>
      <c r="L177" s="53"/>
      <c r="M177" s="53"/>
      <c r="N177" s="54"/>
      <c r="O177" s="53"/>
      <c r="P177" s="53"/>
    </row>
    <row r="178" spans="1:16">
      <c r="A178" s="53"/>
      <c r="B178" s="3"/>
      <c r="C178" s="9"/>
      <c r="D178" s="3"/>
      <c r="E178" s="3"/>
      <c r="F178" s="53"/>
      <c r="G178" s="53"/>
      <c r="H178" s="53"/>
      <c r="I178" s="54"/>
      <c r="J178" s="53"/>
      <c r="K178" s="53"/>
      <c r="L178" s="53"/>
      <c r="M178" s="53"/>
      <c r="N178" s="54"/>
      <c r="O178" s="53"/>
      <c r="P178" s="53"/>
    </row>
    <row r="179" spans="1:16">
      <c r="A179" s="53"/>
      <c r="B179" s="3"/>
      <c r="C179" s="9"/>
      <c r="D179" s="3"/>
      <c r="E179" s="3"/>
      <c r="F179" s="53"/>
      <c r="G179" s="53"/>
      <c r="H179" s="53"/>
      <c r="I179" s="54"/>
      <c r="J179" s="53"/>
      <c r="K179" s="53"/>
      <c r="L179" s="53"/>
      <c r="M179" s="53"/>
      <c r="N179" s="54"/>
      <c r="O179" s="53"/>
      <c r="P179" s="53"/>
    </row>
    <row r="180" spans="1:16">
      <c r="A180" s="53"/>
      <c r="B180" s="3"/>
      <c r="C180" s="9"/>
      <c r="D180" s="3"/>
      <c r="E180" s="3"/>
      <c r="F180" s="53"/>
      <c r="G180" s="53"/>
      <c r="H180" s="53"/>
      <c r="I180" s="54"/>
      <c r="J180" s="53"/>
      <c r="K180" s="53"/>
      <c r="L180" s="53"/>
      <c r="M180" s="53"/>
      <c r="N180" s="54"/>
      <c r="O180" s="53"/>
      <c r="P180" s="53"/>
    </row>
    <row r="181" spans="1:16">
      <c r="A181" s="53"/>
      <c r="B181" s="3"/>
      <c r="C181" s="9"/>
      <c r="D181" s="3"/>
      <c r="E181" s="3"/>
      <c r="F181" s="53"/>
      <c r="G181" s="53"/>
      <c r="H181" s="53"/>
      <c r="I181" s="54"/>
      <c r="J181" s="53"/>
      <c r="K181" s="53"/>
      <c r="L181" s="53"/>
      <c r="M181" s="53"/>
      <c r="N181" s="54"/>
      <c r="O181" s="53"/>
      <c r="P181" s="53"/>
    </row>
    <row r="182" spans="1:16">
      <c r="A182" s="53"/>
      <c r="B182" s="3"/>
      <c r="C182" s="9"/>
      <c r="D182" s="3"/>
      <c r="E182" s="3"/>
      <c r="F182" s="53"/>
      <c r="G182" s="53"/>
      <c r="H182" s="53"/>
      <c r="I182" s="54"/>
      <c r="J182" s="53"/>
      <c r="K182" s="53"/>
      <c r="L182" s="53"/>
      <c r="M182" s="53"/>
      <c r="N182" s="54"/>
      <c r="O182" s="53"/>
      <c r="P182" s="53"/>
    </row>
    <row r="183" spans="1:16">
      <c r="A183" s="53"/>
      <c r="B183" s="3"/>
      <c r="C183" s="9"/>
      <c r="D183" s="3"/>
      <c r="E183" s="3"/>
      <c r="F183" s="53"/>
      <c r="G183" s="53"/>
      <c r="H183" s="53"/>
      <c r="I183" s="54"/>
      <c r="J183" s="53"/>
      <c r="K183" s="53"/>
      <c r="L183" s="53"/>
      <c r="M183" s="53"/>
      <c r="N183" s="54"/>
      <c r="O183" s="53"/>
      <c r="P183" s="53"/>
    </row>
    <row r="184" spans="1:16">
      <c r="A184" s="53"/>
      <c r="B184" s="3"/>
      <c r="C184" s="9"/>
      <c r="D184" s="3"/>
      <c r="E184" s="3"/>
      <c r="F184" s="53"/>
      <c r="G184" s="53"/>
      <c r="H184" s="53"/>
      <c r="I184" s="54"/>
      <c r="J184" s="53"/>
      <c r="K184" s="53"/>
      <c r="L184" s="53"/>
      <c r="M184" s="53"/>
      <c r="N184" s="54"/>
      <c r="O184" s="53"/>
      <c r="P184" s="53"/>
    </row>
    <row r="185" spans="1:16">
      <c r="A185" s="53"/>
      <c r="B185" s="3"/>
      <c r="C185" s="9"/>
      <c r="D185" s="3"/>
      <c r="E185" s="3"/>
      <c r="F185" s="53"/>
      <c r="G185" s="53"/>
      <c r="H185" s="53"/>
      <c r="I185" s="54"/>
      <c r="J185" s="53"/>
      <c r="K185" s="53"/>
      <c r="L185" s="53"/>
      <c r="M185" s="53"/>
      <c r="N185" s="54"/>
      <c r="O185" s="53"/>
      <c r="P185" s="53"/>
    </row>
    <row r="186" spans="1:16">
      <c r="A186" s="53"/>
      <c r="B186" s="3"/>
      <c r="C186" s="9"/>
      <c r="D186" s="3"/>
      <c r="E186" s="3"/>
      <c r="F186" s="53"/>
      <c r="G186" s="53"/>
      <c r="H186" s="53"/>
      <c r="I186" s="54"/>
      <c r="J186" s="53"/>
      <c r="K186" s="53"/>
      <c r="L186" s="53"/>
      <c r="M186" s="53"/>
      <c r="N186" s="54"/>
      <c r="O186" s="53"/>
      <c r="P186" s="53"/>
    </row>
    <row r="187" spans="1:16">
      <c r="A187" s="53"/>
      <c r="B187" s="3"/>
      <c r="C187" s="9"/>
      <c r="D187" s="3"/>
      <c r="E187" s="3"/>
      <c r="F187" s="53"/>
      <c r="G187" s="53"/>
      <c r="H187" s="53"/>
      <c r="I187" s="54"/>
      <c r="J187" s="53"/>
      <c r="K187" s="53"/>
      <c r="L187" s="53"/>
      <c r="M187" s="53"/>
      <c r="N187" s="54"/>
      <c r="O187" s="53"/>
      <c r="P187" s="53"/>
    </row>
    <row r="188" spans="1:16">
      <c r="A188" s="53"/>
      <c r="B188" s="3"/>
      <c r="C188" s="9"/>
      <c r="D188" s="3"/>
      <c r="E188" s="3"/>
      <c r="F188" s="53"/>
      <c r="G188" s="53"/>
      <c r="H188" s="53"/>
      <c r="I188" s="54"/>
      <c r="J188" s="53"/>
      <c r="K188" s="53"/>
      <c r="L188" s="53"/>
      <c r="M188" s="53"/>
      <c r="N188" s="54"/>
      <c r="O188" s="53"/>
      <c r="P188" s="53"/>
    </row>
    <row r="189" spans="1:16">
      <c r="A189" s="53"/>
      <c r="B189" s="3"/>
      <c r="C189" s="9"/>
      <c r="D189" s="3"/>
      <c r="E189" s="3"/>
      <c r="F189" s="53"/>
      <c r="G189" s="53"/>
      <c r="H189" s="53"/>
      <c r="I189" s="54"/>
      <c r="J189" s="53"/>
      <c r="K189" s="53"/>
      <c r="L189" s="53"/>
      <c r="M189" s="53"/>
      <c r="N189" s="54"/>
      <c r="O189" s="53"/>
      <c r="P189" s="53"/>
    </row>
    <row r="190" spans="1:16">
      <c r="A190" s="53"/>
      <c r="B190" s="3"/>
      <c r="C190" s="9"/>
      <c r="D190" s="3"/>
      <c r="E190" s="3"/>
      <c r="F190" s="53"/>
      <c r="G190" s="53"/>
      <c r="H190" s="53"/>
      <c r="I190" s="54"/>
      <c r="J190" s="53"/>
      <c r="K190" s="53"/>
      <c r="L190" s="53"/>
      <c r="M190" s="53"/>
      <c r="N190" s="54"/>
      <c r="O190" s="53"/>
      <c r="P190" s="53"/>
    </row>
    <row r="191" spans="1:16">
      <c r="A191" s="53"/>
      <c r="B191" s="3"/>
      <c r="C191" s="9"/>
      <c r="D191" s="3"/>
      <c r="E191" s="3"/>
      <c r="F191" s="53"/>
      <c r="G191" s="53"/>
      <c r="H191" s="53"/>
      <c r="I191" s="54"/>
      <c r="J191" s="53"/>
      <c r="K191" s="53"/>
      <c r="L191" s="53"/>
      <c r="M191" s="53"/>
      <c r="N191" s="54"/>
      <c r="O191" s="53"/>
      <c r="P191" s="53"/>
    </row>
    <row r="192" spans="1:16">
      <c r="A192" s="53"/>
      <c r="B192" s="3"/>
      <c r="C192" s="9"/>
      <c r="D192" s="3"/>
      <c r="E192" s="3"/>
      <c r="F192" s="53"/>
      <c r="G192" s="53"/>
      <c r="H192" s="53"/>
      <c r="I192" s="54"/>
      <c r="J192" s="53"/>
      <c r="K192" s="53"/>
      <c r="L192" s="53"/>
      <c r="M192" s="53"/>
      <c r="N192" s="54"/>
      <c r="O192" s="53"/>
      <c r="P192" s="53"/>
    </row>
    <row r="193" spans="1:16">
      <c r="A193" s="53"/>
      <c r="B193" s="3"/>
      <c r="C193" s="9"/>
      <c r="D193" s="3"/>
      <c r="E193" s="3"/>
      <c r="F193" s="53"/>
      <c r="G193" s="53"/>
      <c r="H193" s="53"/>
      <c r="I193" s="54"/>
      <c r="J193" s="53"/>
      <c r="K193" s="53"/>
      <c r="L193" s="53"/>
      <c r="M193" s="53"/>
      <c r="N193" s="54"/>
      <c r="O193" s="53"/>
      <c r="P193" s="53"/>
    </row>
    <row r="194" spans="1:16">
      <c r="A194" s="53"/>
      <c r="B194" s="3"/>
      <c r="C194" s="9"/>
      <c r="D194" s="3"/>
      <c r="E194" s="3"/>
      <c r="F194" s="53"/>
      <c r="G194" s="53"/>
      <c r="H194" s="53"/>
      <c r="I194" s="54"/>
      <c r="J194" s="53"/>
      <c r="K194" s="53"/>
      <c r="L194" s="53"/>
      <c r="M194" s="53"/>
      <c r="N194" s="54"/>
      <c r="O194" s="53"/>
      <c r="P194" s="53"/>
    </row>
    <row r="195" spans="1:16">
      <c r="A195" s="53"/>
      <c r="B195" s="3"/>
      <c r="C195" s="9"/>
      <c r="D195" s="3"/>
      <c r="E195" s="3"/>
      <c r="F195" s="53"/>
      <c r="G195" s="53"/>
      <c r="H195" s="53"/>
      <c r="I195" s="54"/>
      <c r="J195" s="53"/>
      <c r="K195" s="53"/>
      <c r="L195" s="53"/>
      <c r="M195" s="53"/>
      <c r="N195" s="54"/>
      <c r="O195" s="53"/>
      <c r="P195" s="53"/>
    </row>
    <row r="196" spans="1:16">
      <c r="A196" s="53"/>
      <c r="B196" s="3"/>
      <c r="C196" s="9"/>
      <c r="D196" s="3"/>
      <c r="E196" s="3"/>
      <c r="F196" s="53"/>
      <c r="G196" s="53"/>
      <c r="H196" s="53"/>
      <c r="I196" s="54"/>
      <c r="J196" s="53"/>
      <c r="K196" s="53"/>
      <c r="L196" s="53"/>
      <c r="M196" s="53"/>
      <c r="N196" s="54"/>
      <c r="O196" s="53"/>
      <c r="P196" s="53"/>
    </row>
    <row r="197" spans="1:16">
      <c r="A197" s="53"/>
      <c r="B197" s="3"/>
      <c r="C197" s="9"/>
      <c r="D197" s="3"/>
      <c r="E197" s="3"/>
      <c r="F197" s="53"/>
      <c r="G197" s="53"/>
      <c r="H197" s="53"/>
      <c r="I197" s="54"/>
      <c r="J197" s="53"/>
      <c r="K197" s="53"/>
      <c r="L197" s="53"/>
      <c r="M197" s="53"/>
      <c r="N197" s="54"/>
      <c r="O197" s="53"/>
      <c r="P197" s="53"/>
    </row>
    <row r="198" spans="1:16">
      <c r="A198" s="53"/>
      <c r="B198" s="3"/>
      <c r="C198" s="9"/>
      <c r="D198" s="3"/>
      <c r="E198" s="3"/>
      <c r="F198" s="53"/>
      <c r="G198" s="53"/>
      <c r="H198" s="53"/>
      <c r="I198" s="54"/>
      <c r="J198" s="53"/>
      <c r="K198" s="53"/>
      <c r="L198" s="53"/>
      <c r="M198" s="53"/>
      <c r="N198" s="54"/>
      <c r="O198" s="53"/>
      <c r="P198" s="53"/>
    </row>
    <row r="199" spans="1:16">
      <c r="A199" s="53"/>
      <c r="B199" s="3"/>
      <c r="C199" s="9"/>
      <c r="D199" s="3"/>
      <c r="E199" s="3"/>
      <c r="F199" s="53"/>
      <c r="G199" s="53"/>
      <c r="H199" s="53"/>
      <c r="I199" s="54"/>
      <c r="J199" s="53"/>
      <c r="K199" s="53"/>
      <c r="L199" s="53"/>
      <c r="M199" s="53"/>
      <c r="N199" s="54"/>
      <c r="O199" s="53"/>
      <c r="P199" s="53"/>
    </row>
    <row r="200" spans="1:16">
      <c r="A200" s="53"/>
      <c r="B200" s="3"/>
      <c r="C200" s="9"/>
      <c r="D200" s="3"/>
      <c r="E200" s="3"/>
      <c r="F200" s="53"/>
      <c r="G200" s="53"/>
      <c r="H200" s="53"/>
      <c r="I200" s="54"/>
      <c r="J200" s="53"/>
      <c r="K200" s="53"/>
      <c r="L200" s="53"/>
      <c r="M200" s="53"/>
      <c r="N200" s="54"/>
      <c r="O200" s="53"/>
      <c r="P200" s="53"/>
    </row>
    <row r="201" spans="1:16">
      <c r="A201" s="53"/>
      <c r="B201" s="3"/>
      <c r="C201" s="9"/>
      <c r="D201" s="3"/>
      <c r="E201" s="3"/>
      <c r="F201" s="53"/>
      <c r="G201" s="53"/>
      <c r="H201" s="53"/>
      <c r="I201" s="54"/>
      <c r="J201" s="53"/>
      <c r="K201" s="53"/>
      <c r="L201" s="53"/>
      <c r="M201" s="53"/>
      <c r="N201" s="54"/>
      <c r="O201" s="53"/>
      <c r="P201" s="53"/>
    </row>
    <row r="202" spans="1:16">
      <c r="A202" s="53"/>
      <c r="B202" s="3"/>
      <c r="C202" s="9"/>
      <c r="D202" s="3"/>
      <c r="E202" s="3"/>
      <c r="F202" s="53"/>
      <c r="G202" s="53"/>
      <c r="H202" s="53"/>
      <c r="I202" s="54"/>
      <c r="J202" s="53"/>
      <c r="K202" s="53"/>
      <c r="L202" s="53"/>
      <c r="M202" s="53"/>
      <c r="N202" s="54"/>
      <c r="O202" s="53"/>
      <c r="P202" s="53"/>
    </row>
    <row r="203" spans="1:16">
      <c r="A203" s="53"/>
      <c r="B203" s="3"/>
      <c r="C203" s="9"/>
      <c r="D203" s="3"/>
      <c r="E203" s="3"/>
      <c r="F203" s="53"/>
      <c r="G203" s="53"/>
      <c r="H203" s="53"/>
      <c r="I203" s="54"/>
      <c r="J203" s="53"/>
      <c r="K203" s="53"/>
      <c r="L203" s="53"/>
      <c r="M203" s="53"/>
      <c r="N203" s="54"/>
      <c r="O203" s="53"/>
      <c r="P203" s="53"/>
    </row>
    <row r="204" spans="1:16">
      <c r="A204" s="53"/>
      <c r="B204" s="3"/>
      <c r="C204" s="9"/>
      <c r="D204" s="3"/>
      <c r="E204" s="3"/>
      <c r="F204" s="53"/>
      <c r="G204" s="53"/>
      <c r="H204" s="53"/>
      <c r="I204" s="54"/>
      <c r="J204" s="53"/>
      <c r="K204" s="53"/>
      <c r="L204" s="53"/>
      <c r="M204" s="53"/>
      <c r="N204" s="54"/>
      <c r="O204" s="53"/>
      <c r="P204" s="53"/>
    </row>
    <row r="205" spans="1:16">
      <c r="A205" s="53"/>
      <c r="B205" s="3"/>
      <c r="C205" s="9"/>
      <c r="D205" s="3"/>
      <c r="E205" s="3"/>
      <c r="F205" s="53"/>
      <c r="G205" s="53"/>
      <c r="H205" s="53"/>
      <c r="I205" s="54"/>
      <c r="J205" s="53"/>
      <c r="K205" s="53"/>
      <c r="L205" s="53"/>
      <c r="M205" s="53"/>
      <c r="N205" s="54"/>
      <c r="O205" s="53"/>
      <c r="P205" s="53"/>
    </row>
    <row r="206" spans="1:16">
      <c r="A206" s="53"/>
      <c r="B206" s="3"/>
      <c r="C206" s="9"/>
      <c r="D206" s="3"/>
      <c r="E206" s="3"/>
      <c r="F206" s="53"/>
      <c r="G206" s="53"/>
      <c r="H206" s="53"/>
      <c r="I206" s="54"/>
      <c r="J206" s="53"/>
      <c r="K206" s="53"/>
      <c r="L206" s="53"/>
      <c r="M206" s="53"/>
      <c r="N206" s="54"/>
      <c r="O206" s="53"/>
      <c r="P206" s="53"/>
    </row>
    <row r="207" spans="1:16">
      <c r="A207" s="53"/>
      <c r="B207" s="3"/>
      <c r="C207" s="9"/>
      <c r="D207" s="3"/>
      <c r="E207" s="3"/>
      <c r="F207" s="53"/>
      <c r="G207" s="53"/>
      <c r="H207" s="53"/>
      <c r="I207" s="54"/>
      <c r="J207" s="53"/>
      <c r="K207" s="53"/>
      <c r="L207" s="53"/>
      <c r="M207" s="53"/>
      <c r="N207" s="54"/>
      <c r="O207" s="53"/>
      <c r="P207" s="53"/>
    </row>
    <row r="208" spans="1:16">
      <c r="A208" s="53"/>
      <c r="B208" s="3"/>
      <c r="C208" s="9"/>
      <c r="D208" s="3"/>
      <c r="E208" s="3"/>
      <c r="F208" s="53"/>
      <c r="G208" s="53"/>
      <c r="H208" s="53"/>
      <c r="I208" s="54"/>
      <c r="J208" s="53"/>
      <c r="K208" s="53"/>
      <c r="L208" s="53"/>
      <c r="M208" s="53"/>
      <c r="N208" s="54"/>
      <c r="O208" s="53"/>
      <c r="P208" s="53"/>
    </row>
    <row r="209" spans="1:16">
      <c r="A209" s="53"/>
      <c r="B209" s="3"/>
      <c r="C209" s="9"/>
      <c r="D209" s="3"/>
      <c r="E209" s="3"/>
      <c r="F209" s="53"/>
      <c r="G209" s="53"/>
      <c r="H209" s="53"/>
      <c r="I209" s="54"/>
      <c r="J209" s="53"/>
      <c r="K209" s="53"/>
      <c r="L209" s="53"/>
      <c r="M209" s="53"/>
      <c r="N209" s="54"/>
      <c r="O209" s="53"/>
      <c r="P209" s="53"/>
    </row>
    <row r="210" spans="1:16">
      <c r="A210" s="53"/>
      <c r="B210" s="3"/>
      <c r="C210" s="9"/>
      <c r="D210" s="3"/>
      <c r="E210" s="3"/>
      <c r="F210" s="53"/>
      <c r="G210" s="53"/>
      <c r="H210" s="53"/>
      <c r="I210" s="54"/>
      <c r="J210" s="53"/>
      <c r="K210" s="53"/>
      <c r="L210" s="53"/>
      <c r="M210" s="53"/>
      <c r="N210" s="54"/>
      <c r="O210" s="53"/>
      <c r="P210" s="53"/>
    </row>
    <row r="211" spans="1:16">
      <c r="A211" s="53"/>
      <c r="B211" s="3"/>
      <c r="C211" s="9"/>
      <c r="D211" s="3"/>
      <c r="E211" s="3"/>
      <c r="F211" s="53"/>
      <c r="G211" s="53"/>
      <c r="H211" s="53"/>
      <c r="I211" s="54"/>
      <c r="J211" s="53"/>
      <c r="K211" s="53"/>
      <c r="L211" s="53"/>
      <c r="M211" s="53"/>
      <c r="N211" s="54"/>
      <c r="O211" s="53"/>
      <c r="P211" s="53"/>
    </row>
    <row r="212" spans="1:16">
      <c r="A212" s="53"/>
      <c r="B212" s="3"/>
      <c r="C212" s="9"/>
      <c r="D212" s="3"/>
      <c r="E212" s="3"/>
      <c r="F212" s="53"/>
      <c r="G212" s="53"/>
      <c r="H212" s="53"/>
      <c r="I212" s="54"/>
      <c r="J212" s="53"/>
      <c r="K212" s="53"/>
      <c r="L212" s="53"/>
      <c r="M212" s="53"/>
      <c r="N212" s="54"/>
      <c r="O212" s="53"/>
      <c r="P212" s="53"/>
    </row>
    <row r="213" spans="1:16">
      <c r="A213" s="53"/>
      <c r="B213" s="3"/>
      <c r="C213" s="9"/>
      <c r="D213" s="3"/>
      <c r="E213" s="3"/>
      <c r="F213" s="53"/>
      <c r="G213" s="53"/>
      <c r="H213" s="53"/>
      <c r="I213" s="54"/>
      <c r="J213" s="53"/>
      <c r="K213" s="53"/>
      <c r="L213" s="53"/>
      <c r="M213" s="53"/>
      <c r="N213" s="54"/>
      <c r="O213" s="53"/>
      <c r="P213" s="53"/>
    </row>
    <row r="214" spans="1:16">
      <c r="A214" s="53"/>
      <c r="B214" s="3"/>
      <c r="C214" s="9"/>
      <c r="D214" s="3"/>
      <c r="E214" s="3"/>
      <c r="F214" s="53"/>
      <c r="G214" s="53"/>
      <c r="H214" s="53"/>
      <c r="I214" s="54"/>
      <c r="J214" s="53"/>
      <c r="K214" s="53"/>
      <c r="L214" s="53"/>
      <c r="M214" s="53"/>
      <c r="N214" s="54"/>
      <c r="O214" s="53"/>
      <c r="P214" s="53"/>
    </row>
    <row r="215" spans="1:16">
      <c r="A215" s="53"/>
      <c r="B215" s="3"/>
      <c r="C215" s="9"/>
      <c r="D215" s="3"/>
      <c r="E215" s="3"/>
      <c r="F215" s="53"/>
      <c r="G215" s="53"/>
      <c r="H215" s="53"/>
      <c r="I215" s="54"/>
      <c r="J215" s="53"/>
      <c r="K215" s="53"/>
      <c r="L215" s="53"/>
      <c r="M215" s="53"/>
      <c r="N215" s="54"/>
      <c r="O215" s="53"/>
      <c r="P215" s="53"/>
    </row>
    <row r="216" spans="1:16">
      <c r="A216" s="53"/>
      <c r="B216" s="3"/>
      <c r="C216" s="9"/>
      <c r="D216" s="3"/>
      <c r="E216" s="3"/>
      <c r="F216" s="53"/>
      <c r="G216" s="53"/>
      <c r="H216" s="53"/>
      <c r="I216" s="54"/>
      <c r="J216" s="53"/>
      <c r="K216" s="53"/>
      <c r="L216" s="53"/>
      <c r="M216" s="53"/>
      <c r="N216" s="54"/>
      <c r="O216" s="53"/>
      <c r="P216" s="53"/>
    </row>
    <row r="217" spans="1:16">
      <c r="A217" s="53"/>
      <c r="B217" s="3"/>
      <c r="C217" s="9"/>
      <c r="D217" s="3"/>
      <c r="E217" s="3"/>
      <c r="F217" s="53"/>
      <c r="G217" s="53"/>
      <c r="H217" s="53"/>
      <c r="I217" s="54"/>
      <c r="J217" s="53"/>
      <c r="K217" s="53"/>
      <c r="L217" s="53"/>
      <c r="M217" s="53"/>
      <c r="N217" s="54"/>
      <c r="O217" s="53"/>
      <c r="P217" s="53"/>
    </row>
    <row r="218" spans="1:16">
      <c r="A218" s="53"/>
      <c r="B218" s="3"/>
      <c r="C218" s="9"/>
      <c r="D218" s="3"/>
      <c r="E218" s="3"/>
      <c r="F218" s="53"/>
      <c r="G218" s="53"/>
      <c r="H218" s="53"/>
      <c r="I218" s="54"/>
      <c r="J218" s="53"/>
      <c r="K218" s="53"/>
      <c r="L218" s="53"/>
      <c r="M218" s="53"/>
      <c r="N218" s="54"/>
      <c r="O218" s="53"/>
      <c r="P218" s="53"/>
    </row>
    <row r="219" spans="1:16">
      <c r="A219" s="53"/>
      <c r="B219" s="3"/>
      <c r="C219" s="9"/>
      <c r="D219" s="3"/>
      <c r="E219" s="3"/>
      <c r="F219" s="53"/>
      <c r="G219" s="53"/>
      <c r="H219" s="53"/>
      <c r="I219" s="54"/>
      <c r="J219" s="53"/>
      <c r="K219" s="53"/>
      <c r="L219" s="53"/>
      <c r="M219" s="53"/>
      <c r="N219" s="54"/>
      <c r="O219" s="53"/>
      <c r="P219" s="53"/>
    </row>
    <row r="220" spans="1:16">
      <c r="A220" s="53"/>
      <c r="B220" s="3"/>
      <c r="C220" s="9"/>
      <c r="D220" s="3"/>
      <c r="E220" s="3"/>
      <c r="F220" s="53"/>
      <c r="G220" s="53"/>
      <c r="H220" s="53"/>
      <c r="I220" s="54"/>
      <c r="J220" s="53"/>
      <c r="K220" s="53"/>
      <c r="L220" s="53"/>
      <c r="M220" s="53"/>
      <c r="N220" s="54"/>
      <c r="O220" s="53"/>
      <c r="P220" s="53"/>
    </row>
    <row r="221" spans="1:16">
      <c r="A221" s="53"/>
      <c r="B221" s="3"/>
      <c r="C221" s="9"/>
      <c r="D221" s="3"/>
      <c r="E221" s="3"/>
      <c r="F221" s="53"/>
      <c r="G221" s="53"/>
      <c r="H221" s="53"/>
      <c r="I221" s="54"/>
      <c r="J221" s="53"/>
      <c r="K221" s="53"/>
      <c r="L221" s="53"/>
      <c r="M221" s="53"/>
      <c r="N221" s="54"/>
      <c r="O221" s="53"/>
      <c r="P221" s="53"/>
    </row>
    <row r="222" spans="1:16">
      <c r="A222" s="53"/>
      <c r="B222" s="3"/>
      <c r="C222" s="9"/>
      <c r="D222" s="3"/>
      <c r="E222" s="3"/>
      <c r="F222" s="53"/>
      <c r="G222" s="53"/>
      <c r="H222" s="53"/>
      <c r="I222" s="54"/>
      <c r="J222" s="53"/>
      <c r="K222" s="53"/>
      <c r="L222" s="53"/>
      <c r="M222" s="53"/>
      <c r="N222" s="54"/>
      <c r="O222" s="53"/>
      <c r="P222" s="53"/>
    </row>
    <row r="223" spans="1:16">
      <c r="A223" s="53"/>
      <c r="B223" s="3"/>
      <c r="C223" s="9"/>
      <c r="D223" s="3"/>
      <c r="E223" s="3"/>
      <c r="F223" s="53"/>
      <c r="G223" s="53"/>
      <c r="H223" s="53"/>
      <c r="I223" s="54"/>
      <c r="J223" s="53"/>
      <c r="K223" s="53"/>
      <c r="L223" s="53"/>
      <c r="M223" s="53"/>
      <c r="N223" s="54"/>
      <c r="O223" s="53"/>
      <c r="P223" s="53"/>
    </row>
    <row r="224" spans="1:16">
      <c r="A224" s="53"/>
      <c r="B224" s="3"/>
      <c r="C224" s="9"/>
      <c r="D224" s="3"/>
      <c r="E224" s="3"/>
      <c r="F224" s="53"/>
      <c r="G224" s="53"/>
      <c r="H224" s="53"/>
      <c r="I224" s="54"/>
      <c r="J224" s="53"/>
      <c r="K224" s="53"/>
      <c r="L224" s="53"/>
      <c r="M224" s="53"/>
      <c r="N224" s="54"/>
      <c r="O224" s="53"/>
      <c r="P224" s="53"/>
    </row>
    <row r="225" spans="1:16">
      <c r="A225" s="53"/>
      <c r="B225" s="3"/>
      <c r="C225" s="9"/>
      <c r="D225" s="3"/>
      <c r="E225" s="3"/>
      <c r="F225" s="53"/>
      <c r="G225" s="53"/>
      <c r="H225" s="53"/>
      <c r="I225" s="54"/>
      <c r="J225" s="53"/>
      <c r="K225" s="53"/>
      <c r="L225" s="53"/>
      <c r="M225" s="53"/>
      <c r="N225" s="54"/>
      <c r="O225" s="53"/>
      <c r="P225" s="53"/>
    </row>
    <row r="226" spans="1:16">
      <c r="A226" s="53"/>
      <c r="B226" s="3"/>
      <c r="C226" s="9"/>
      <c r="D226" s="3"/>
      <c r="E226" s="3"/>
      <c r="F226" s="53"/>
      <c r="G226" s="53"/>
      <c r="H226" s="53"/>
      <c r="I226" s="54"/>
      <c r="J226" s="53"/>
      <c r="K226" s="53"/>
      <c r="L226" s="53"/>
      <c r="M226" s="53"/>
      <c r="N226" s="54"/>
      <c r="O226" s="53"/>
      <c r="P226" s="53"/>
    </row>
    <row r="227" spans="1:16">
      <c r="A227" s="53"/>
      <c r="B227" s="3"/>
      <c r="C227" s="9"/>
      <c r="D227" s="3"/>
      <c r="E227" s="3"/>
      <c r="F227" s="53"/>
      <c r="G227" s="53"/>
      <c r="H227" s="53"/>
      <c r="I227" s="54"/>
      <c r="J227" s="53"/>
      <c r="K227" s="53"/>
      <c r="L227" s="53"/>
      <c r="M227" s="53"/>
      <c r="N227" s="54"/>
      <c r="O227" s="53"/>
      <c r="P227" s="53"/>
    </row>
    <row r="228" spans="1:16">
      <c r="A228" s="53"/>
      <c r="B228" s="3"/>
      <c r="C228" s="9"/>
      <c r="D228" s="3"/>
      <c r="E228" s="3"/>
      <c r="F228" s="53"/>
      <c r="G228" s="53"/>
      <c r="H228" s="53"/>
      <c r="I228" s="54"/>
      <c r="J228" s="53"/>
      <c r="K228" s="53"/>
      <c r="L228" s="53"/>
      <c r="M228" s="53"/>
      <c r="N228" s="54"/>
      <c r="O228" s="53"/>
      <c r="P228" s="53"/>
    </row>
    <row r="229" spans="1:16">
      <c r="A229" s="53"/>
      <c r="B229" s="3"/>
      <c r="C229" s="9"/>
      <c r="D229" s="3"/>
      <c r="E229" s="3"/>
      <c r="F229" s="53"/>
      <c r="G229" s="53"/>
      <c r="H229" s="53"/>
      <c r="I229" s="54"/>
      <c r="J229" s="53"/>
      <c r="K229" s="53"/>
      <c r="L229" s="53"/>
      <c r="M229" s="53"/>
      <c r="N229" s="54"/>
      <c r="O229" s="53"/>
      <c r="P229" s="53"/>
    </row>
    <row r="230" spans="1:16">
      <c r="A230" s="53"/>
      <c r="B230" s="3"/>
      <c r="C230" s="9"/>
      <c r="D230" s="3"/>
      <c r="E230" s="3"/>
      <c r="F230" s="53"/>
      <c r="G230" s="53"/>
      <c r="H230" s="53"/>
      <c r="I230" s="54"/>
      <c r="J230" s="53"/>
      <c r="K230" s="53"/>
      <c r="L230" s="53"/>
      <c r="M230" s="53"/>
      <c r="N230" s="54"/>
      <c r="O230" s="53"/>
      <c r="P230" s="53"/>
    </row>
    <row r="231" spans="1:16">
      <c r="A231" s="53"/>
      <c r="B231" s="3"/>
      <c r="C231" s="9"/>
      <c r="D231" s="3"/>
      <c r="E231" s="3"/>
      <c r="F231" s="53"/>
      <c r="G231" s="53"/>
      <c r="H231" s="53"/>
      <c r="I231" s="54"/>
      <c r="J231" s="53"/>
      <c r="K231" s="53"/>
      <c r="L231" s="53"/>
      <c r="M231" s="53"/>
      <c r="N231" s="54"/>
      <c r="O231" s="53"/>
      <c r="P231" s="53"/>
    </row>
    <row r="232" spans="1:16">
      <c r="A232" s="53"/>
      <c r="B232" s="3"/>
      <c r="C232" s="9"/>
      <c r="D232" s="3"/>
      <c r="E232" s="3"/>
      <c r="F232" s="53"/>
      <c r="G232" s="53"/>
      <c r="H232" s="53"/>
      <c r="I232" s="54"/>
      <c r="J232" s="53"/>
      <c r="K232" s="53"/>
      <c r="L232" s="53"/>
      <c r="M232" s="53"/>
      <c r="N232" s="54"/>
      <c r="O232" s="53"/>
      <c r="P232" s="53"/>
    </row>
    <row r="233" spans="1:16">
      <c r="A233" s="53"/>
      <c r="B233" s="3"/>
      <c r="C233" s="9"/>
      <c r="D233" s="3"/>
      <c r="E233" s="3"/>
      <c r="F233" s="53"/>
      <c r="G233" s="53"/>
      <c r="H233" s="53"/>
      <c r="I233" s="54"/>
      <c r="J233" s="53"/>
      <c r="K233" s="53"/>
      <c r="L233" s="53"/>
      <c r="M233" s="53"/>
      <c r="N233" s="54"/>
      <c r="O233" s="53"/>
      <c r="P233" s="53"/>
    </row>
    <row r="234" spans="1:16">
      <c r="A234" s="53"/>
      <c r="B234" s="3"/>
      <c r="C234" s="9"/>
      <c r="D234" s="3"/>
      <c r="E234" s="3"/>
      <c r="F234" s="53"/>
      <c r="G234" s="53"/>
      <c r="H234" s="53"/>
      <c r="I234" s="54"/>
      <c r="J234" s="53"/>
      <c r="K234" s="53"/>
      <c r="L234" s="53"/>
      <c r="M234" s="53"/>
      <c r="N234" s="54"/>
      <c r="O234" s="53"/>
      <c r="P234" s="53"/>
    </row>
    <row r="235" spans="1:16">
      <c r="A235" s="53"/>
      <c r="B235" s="3"/>
      <c r="C235" s="9"/>
      <c r="D235" s="3"/>
      <c r="E235" s="3"/>
      <c r="F235" s="53"/>
      <c r="G235" s="53"/>
      <c r="H235" s="53"/>
      <c r="I235" s="54"/>
      <c r="J235" s="53"/>
      <c r="K235" s="53"/>
      <c r="L235" s="53"/>
      <c r="M235" s="53"/>
      <c r="N235" s="54"/>
      <c r="O235" s="53"/>
      <c r="P235" s="53"/>
    </row>
    <row r="236" spans="1:16">
      <c r="A236" s="53"/>
      <c r="B236" s="3"/>
      <c r="C236" s="9"/>
      <c r="D236" s="3"/>
      <c r="E236" s="3"/>
      <c r="F236" s="53"/>
      <c r="G236" s="53"/>
      <c r="H236" s="53"/>
      <c r="I236" s="54"/>
      <c r="J236" s="53"/>
      <c r="K236" s="53"/>
      <c r="L236" s="53"/>
      <c r="M236" s="53"/>
      <c r="N236" s="54"/>
      <c r="O236" s="53"/>
      <c r="P236" s="53"/>
    </row>
    <row r="237" spans="1:16">
      <c r="A237" s="53"/>
      <c r="B237" s="3"/>
      <c r="C237" s="9"/>
      <c r="D237" s="3"/>
      <c r="E237" s="3"/>
      <c r="F237" s="53"/>
      <c r="G237" s="53"/>
      <c r="H237" s="53"/>
      <c r="I237" s="54"/>
      <c r="J237" s="53"/>
      <c r="K237" s="53"/>
      <c r="L237" s="53"/>
      <c r="M237" s="53"/>
      <c r="N237" s="54"/>
      <c r="O237" s="53"/>
      <c r="P237" s="53"/>
    </row>
    <row r="238" spans="1:16">
      <c r="A238" s="53"/>
      <c r="B238" s="3"/>
      <c r="C238" s="9"/>
      <c r="D238" s="3"/>
      <c r="E238" s="3"/>
      <c r="F238" s="53"/>
      <c r="G238" s="53"/>
      <c r="H238" s="53"/>
      <c r="I238" s="54"/>
      <c r="J238" s="53"/>
      <c r="K238" s="53"/>
      <c r="L238" s="53"/>
      <c r="M238" s="53"/>
      <c r="N238" s="54"/>
      <c r="O238" s="53"/>
      <c r="P238" s="53"/>
    </row>
    <row r="239" spans="1:16">
      <c r="A239" s="53"/>
      <c r="B239" s="3"/>
      <c r="C239" s="9"/>
      <c r="D239" s="3"/>
      <c r="E239" s="3"/>
      <c r="F239" s="53"/>
      <c r="G239" s="53"/>
      <c r="H239" s="53"/>
      <c r="I239" s="54"/>
      <c r="J239" s="53"/>
      <c r="K239" s="53"/>
      <c r="L239" s="53"/>
      <c r="M239" s="53"/>
      <c r="N239" s="54"/>
      <c r="O239" s="53"/>
      <c r="P239" s="53"/>
    </row>
    <row r="240" spans="1:16">
      <c r="A240" s="53"/>
      <c r="B240" s="3"/>
      <c r="C240" s="9"/>
      <c r="D240" s="3"/>
      <c r="E240" s="3"/>
      <c r="F240" s="53"/>
      <c r="G240" s="53"/>
      <c r="H240" s="53"/>
      <c r="I240" s="54"/>
      <c r="J240" s="53"/>
      <c r="K240" s="53"/>
      <c r="L240" s="53"/>
      <c r="M240" s="53"/>
      <c r="N240" s="54"/>
      <c r="O240" s="53"/>
      <c r="P240" s="53"/>
    </row>
    <row r="241" spans="1:16">
      <c r="A241" s="53"/>
      <c r="B241" s="3"/>
      <c r="C241" s="9"/>
      <c r="D241" s="3"/>
      <c r="E241" s="3"/>
      <c r="F241" s="53"/>
      <c r="G241" s="53"/>
      <c r="H241" s="53"/>
      <c r="I241" s="54"/>
      <c r="J241" s="53"/>
      <c r="K241" s="53"/>
      <c r="L241" s="53"/>
      <c r="M241" s="53"/>
      <c r="N241" s="54"/>
      <c r="O241" s="53"/>
      <c r="P241" s="53"/>
    </row>
    <row r="242" spans="1:16">
      <c r="A242" s="53"/>
      <c r="B242" s="3"/>
      <c r="C242" s="9"/>
      <c r="D242" s="3"/>
      <c r="E242" s="3"/>
      <c r="F242" s="53"/>
      <c r="G242" s="53"/>
      <c r="H242" s="53"/>
      <c r="I242" s="54"/>
      <c r="J242" s="53"/>
      <c r="K242" s="53"/>
      <c r="L242" s="53"/>
      <c r="M242" s="53"/>
      <c r="N242" s="54"/>
      <c r="O242" s="53"/>
      <c r="P242" s="53"/>
    </row>
    <row r="243" spans="1:16">
      <c r="A243" s="53"/>
      <c r="B243" s="3"/>
      <c r="C243" s="9"/>
      <c r="D243" s="3"/>
      <c r="E243" s="3"/>
      <c r="F243" s="53"/>
      <c r="G243" s="53"/>
      <c r="H243" s="53"/>
      <c r="I243" s="54"/>
      <c r="J243" s="53"/>
      <c r="K243" s="53"/>
      <c r="L243" s="53"/>
      <c r="M243" s="53"/>
      <c r="N243" s="54"/>
      <c r="O243" s="53"/>
      <c r="P243" s="53"/>
    </row>
    <row r="244" spans="1:16">
      <c r="A244" s="53"/>
      <c r="B244" s="3"/>
      <c r="C244" s="9"/>
      <c r="D244" s="3"/>
      <c r="E244" s="3"/>
      <c r="F244" s="53"/>
      <c r="G244" s="53"/>
      <c r="H244" s="53"/>
      <c r="I244" s="54"/>
      <c r="J244" s="53"/>
      <c r="K244" s="53"/>
      <c r="L244" s="53"/>
      <c r="M244" s="53"/>
      <c r="N244" s="54"/>
      <c r="O244" s="53"/>
      <c r="P244" s="53"/>
    </row>
    <row r="245" spans="1:16">
      <c r="A245" s="53"/>
      <c r="B245" s="3"/>
      <c r="C245" s="9"/>
      <c r="D245" s="3"/>
      <c r="E245" s="3"/>
      <c r="F245" s="53"/>
      <c r="G245" s="53"/>
      <c r="H245" s="53"/>
      <c r="I245" s="54"/>
      <c r="J245" s="53"/>
      <c r="K245" s="53"/>
      <c r="L245" s="53"/>
      <c r="M245" s="53"/>
      <c r="N245" s="54"/>
      <c r="O245" s="53"/>
      <c r="P245" s="53"/>
    </row>
    <row r="246" spans="1:16">
      <c r="A246" s="53"/>
      <c r="B246" s="3"/>
      <c r="C246" s="9"/>
      <c r="D246" s="3"/>
      <c r="E246" s="3"/>
      <c r="F246" s="53"/>
      <c r="G246" s="53"/>
      <c r="H246" s="53"/>
      <c r="I246" s="54"/>
      <c r="J246" s="53"/>
      <c r="K246" s="53"/>
      <c r="L246" s="53"/>
      <c r="M246" s="53"/>
      <c r="N246" s="54"/>
      <c r="O246" s="53"/>
      <c r="P246" s="53"/>
    </row>
    <row r="247" spans="1:16">
      <c r="A247" s="53"/>
      <c r="B247" s="3"/>
      <c r="C247" s="9"/>
      <c r="D247" s="3"/>
      <c r="E247" s="3"/>
      <c r="F247" s="53"/>
      <c r="G247" s="53"/>
      <c r="H247" s="53"/>
      <c r="I247" s="54"/>
      <c r="J247" s="53"/>
      <c r="K247" s="53"/>
      <c r="L247" s="53"/>
      <c r="M247" s="53"/>
      <c r="N247" s="54"/>
      <c r="O247" s="53"/>
      <c r="P247" s="53"/>
    </row>
    <row r="248" spans="1:16">
      <c r="A248" s="53"/>
      <c r="B248" s="3"/>
      <c r="C248" s="9"/>
      <c r="D248" s="3"/>
      <c r="E248" s="3"/>
      <c r="F248" s="53"/>
      <c r="G248" s="53"/>
      <c r="H248" s="53"/>
      <c r="I248" s="54"/>
      <c r="J248" s="53"/>
      <c r="K248" s="53"/>
      <c r="L248" s="53"/>
      <c r="M248" s="53"/>
      <c r="N248" s="54"/>
      <c r="O248" s="53"/>
      <c r="P248" s="53"/>
    </row>
    <row r="249" spans="1:16">
      <c r="A249" s="53"/>
      <c r="B249" s="3"/>
      <c r="C249" s="9"/>
      <c r="D249" s="3"/>
      <c r="E249" s="3"/>
      <c r="F249" s="53"/>
      <c r="G249" s="53"/>
      <c r="H249" s="53"/>
      <c r="I249" s="54"/>
      <c r="J249" s="53"/>
      <c r="K249" s="53"/>
      <c r="L249" s="53"/>
      <c r="M249" s="53"/>
      <c r="N249" s="54"/>
      <c r="O249" s="53"/>
      <c r="P249" s="53"/>
    </row>
    <row r="250" spans="1:16">
      <c r="A250" s="53"/>
      <c r="B250" s="3"/>
      <c r="C250" s="9"/>
      <c r="D250" s="3"/>
      <c r="E250" s="3"/>
      <c r="F250" s="53"/>
      <c r="G250" s="53"/>
      <c r="H250" s="53"/>
      <c r="I250" s="54"/>
      <c r="J250" s="53"/>
      <c r="K250" s="53"/>
      <c r="L250" s="53"/>
      <c r="M250" s="53"/>
      <c r="N250" s="54"/>
      <c r="O250" s="53"/>
      <c r="P250" s="53"/>
    </row>
    <row r="251" spans="1:16">
      <c r="A251" s="53"/>
      <c r="B251" s="3"/>
      <c r="C251" s="9"/>
      <c r="D251" s="3"/>
      <c r="E251" s="3"/>
      <c r="F251" s="53"/>
      <c r="G251" s="53"/>
      <c r="H251" s="53"/>
      <c r="I251" s="54"/>
      <c r="J251" s="53"/>
      <c r="K251" s="53"/>
      <c r="L251" s="53"/>
      <c r="M251" s="53"/>
      <c r="N251" s="54"/>
      <c r="O251" s="53"/>
      <c r="P251" s="53"/>
    </row>
    <row r="252" spans="1:16">
      <c r="A252" s="53"/>
      <c r="B252" s="3"/>
      <c r="C252" s="9"/>
      <c r="D252" s="3"/>
      <c r="E252" s="3"/>
      <c r="F252" s="53"/>
      <c r="G252" s="53"/>
      <c r="H252" s="53"/>
      <c r="I252" s="54"/>
      <c r="J252" s="53"/>
      <c r="K252" s="53"/>
      <c r="L252" s="53"/>
      <c r="M252" s="53"/>
      <c r="N252" s="54"/>
      <c r="O252" s="53"/>
      <c r="P252" s="53"/>
    </row>
    <row r="253" spans="1:16">
      <c r="A253" s="53"/>
      <c r="B253" s="3"/>
      <c r="C253" s="9"/>
      <c r="D253" s="3"/>
      <c r="E253" s="3"/>
      <c r="F253" s="53"/>
      <c r="G253" s="53"/>
      <c r="H253" s="53"/>
      <c r="I253" s="54"/>
      <c r="J253" s="53"/>
      <c r="K253" s="53"/>
      <c r="L253" s="53"/>
      <c r="M253" s="53"/>
      <c r="N253" s="54"/>
      <c r="O253" s="53"/>
      <c r="P253" s="53"/>
    </row>
    <row r="254" spans="1:16">
      <c r="A254" s="53"/>
      <c r="B254" s="3"/>
      <c r="C254" s="9"/>
      <c r="D254" s="3"/>
      <c r="E254" s="3"/>
      <c r="F254" s="53"/>
      <c r="G254" s="53"/>
      <c r="H254" s="53"/>
      <c r="I254" s="54"/>
      <c r="J254" s="53"/>
      <c r="K254" s="53"/>
      <c r="L254" s="53"/>
      <c r="M254" s="53"/>
      <c r="N254" s="54"/>
      <c r="O254" s="53"/>
      <c r="P254" s="53"/>
    </row>
    <row r="255" spans="1:16">
      <c r="A255" s="53"/>
      <c r="B255" s="3"/>
      <c r="C255" s="9"/>
      <c r="D255" s="3"/>
      <c r="E255" s="3"/>
      <c r="F255" s="53"/>
      <c r="G255" s="53"/>
      <c r="H255" s="53"/>
      <c r="I255" s="54"/>
      <c r="J255" s="53"/>
      <c r="K255" s="53"/>
      <c r="L255" s="53"/>
      <c r="M255" s="53"/>
      <c r="N255" s="54"/>
      <c r="O255" s="53"/>
      <c r="P255" s="53"/>
    </row>
    <row r="256" spans="1:16">
      <c r="A256" s="53"/>
      <c r="B256" s="3"/>
      <c r="C256" s="9"/>
      <c r="D256" s="3"/>
      <c r="E256" s="3"/>
      <c r="F256" s="53"/>
      <c r="G256" s="53"/>
      <c r="H256" s="53"/>
      <c r="I256" s="54"/>
      <c r="J256" s="53"/>
      <c r="K256" s="53"/>
      <c r="L256" s="53"/>
      <c r="M256" s="53"/>
      <c r="N256" s="54"/>
      <c r="O256" s="53"/>
      <c r="P256" s="53"/>
    </row>
    <row r="257" spans="1:16">
      <c r="A257" s="53"/>
      <c r="B257" s="3"/>
      <c r="C257" s="9"/>
      <c r="D257" s="3"/>
      <c r="E257" s="3"/>
      <c r="F257" s="53"/>
      <c r="G257" s="53"/>
      <c r="H257" s="53"/>
      <c r="I257" s="54"/>
      <c r="J257" s="53"/>
      <c r="K257" s="53"/>
      <c r="L257" s="53"/>
      <c r="M257" s="53"/>
      <c r="N257" s="54"/>
      <c r="O257" s="53"/>
      <c r="P257" s="53"/>
    </row>
    <row r="258" spans="1:16">
      <c r="A258" s="53"/>
      <c r="B258" s="3"/>
      <c r="C258" s="9"/>
      <c r="D258" s="3"/>
      <c r="E258" s="3"/>
      <c r="F258" s="53"/>
      <c r="G258" s="53"/>
      <c r="H258" s="53"/>
      <c r="I258" s="54"/>
      <c r="J258" s="53"/>
      <c r="K258" s="53"/>
      <c r="L258" s="53"/>
      <c r="M258" s="53"/>
      <c r="N258" s="54"/>
      <c r="O258" s="53"/>
      <c r="P258" s="53"/>
    </row>
    <row r="259" spans="1:16">
      <c r="A259" s="53"/>
      <c r="B259" s="3"/>
      <c r="C259" s="9"/>
      <c r="D259" s="3"/>
      <c r="E259" s="3"/>
      <c r="F259" s="53"/>
      <c r="G259" s="53"/>
      <c r="H259" s="53"/>
      <c r="I259" s="54"/>
      <c r="J259" s="53"/>
      <c r="K259" s="53"/>
      <c r="L259" s="53"/>
      <c r="M259" s="53"/>
      <c r="N259" s="54"/>
      <c r="O259" s="53"/>
      <c r="P259" s="53"/>
    </row>
    <row r="260" spans="1:16">
      <c r="A260" s="53"/>
      <c r="B260" s="3"/>
      <c r="C260" s="9"/>
      <c r="D260" s="3"/>
      <c r="E260" s="3"/>
      <c r="F260" s="53"/>
      <c r="G260" s="53"/>
      <c r="H260" s="53"/>
      <c r="I260" s="54"/>
      <c r="J260" s="53"/>
      <c r="K260" s="53"/>
      <c r="L260" s="53"/>
      <c r="M260" s="53"/>
      <c r="N260" s="54"/>
      <c r="O260" s="53"/>
      <c r="P260" s="53"/>
    </row>
    <row r="261" spans="1:16">
      <c r="A261" s="53"/>
      <c r="B261" s="3"/>
      <c r="C261" s="9"/>
      <c r="D261" s="3"/>
      <c r="E261" s="3"/>
      <c r="F261" s="53"/>
      <c r="G261" s="53"/>
      <c r="H261" s="53"/>
      <c r="I261" s="54"/>
      <c r="J261" s="53"/>
      <c r="K261" s="53"/>
      <c r="L261" s="53"/>
      <c r="M261" s="53"/>
      <c r="N261" s="54"/>
      <c r="O261" s="53"/>
      <c r="P261" s="53"/>
    </row>
    <row r="262" spans="1:16">
      <c r="A262" s="53"/>
      <c r="B262" s="3"/>
      <c r="C262" s="9"/>
      <c r="D262" s="3"/>
      <c r="E262" s="3"/>
      <c r="F262" s="53"/>
      <c r="G262" s="53"/>
      <c r="H262" s="53"/>
      <c r="I262" s="54"/>
      <c r="J262" s="53"/>
      <c r="K262" s="53"/>
      <c r="L262" s="53"/>
      <c r="M262" s="53"/>
      <c r="N262" s="54"/>
      <c r="O262" s="53"/>
      <c r="P262" s="53"/>
    </row>
    <row r="263" spans="1:16">
      <c r="A263" s="53"/>
      <c r="B263" s="3"/>
      <c r="C263" s="9"/>
      <c r="D263" s="3"/>
      <c r="E263" s="3"/>
      <c r="F263" s="53"/>
      <c r="G263" s="53"/>
      <c r="H263" s="53"/>
      <c r="I263" s="54"/>
      <c r="J263" s="53"/>
      <c r="K263" s="53"/>
      <c r="L263" s="53"/>
      <c r="M263" s="53"/>
      <c r="N263" s="54"/>
      <c r="O263" s="53"/>
      <c r="P263" s="53"/>
    </row>
    <row r="264" spans="1:16">
      <c r="A264" s="53"/>
      <c r="B264" s="3"/>
      <c r="C264" s="9"/>
      <c r="D264" s="3"/>
      <c r="E264" s="3"/>
      <c r="F264" s="53"/>
      <c r="G264" s="53"/>
      <c r="H264" s="53"/>
      <c r="I264" s="54"/>
      <c r="J264" s="53"/>
      <c r="K264" s="53"/>
      <c r="L264" s="53"/>
      <c r="M264" s="53"/>
      <c r="N264" s="54"/>
      <c r="O264" s="53"/>
      <c r="P264" s="53"/>
    </row>
    <row r="265" spans="1:16">
      <c r="A265" s="53"/>
      <c r="B265" s="3"/>
      <c r="C265" s="9"/>
      <c r="D265" s="3"/>
      <c r="E265" s="3"/>
      <c r="F265" s="53"/>
      <c r="G265" s="53"/>
      <c r="H265" s="53"/>
      <c r="I265" s="54"/>
      <c r="J265" s="53"/>
      <c r="K265" s="53"/>
      <c r="L265" s="53"/>
      <c r="M265" s="53"/>
      <c r="N265" s="54"/>
      <c r="O265" s="53"/>
      <c r="P265" s="53"/>
    </row>
    <row r="266" spans="1:16">
      <c r="A266" s="53"/>
      <c r="B266" s="3"/>
      <c r="C266" s="9"/>
      <c r="D266" s="3"/>
      <c r="E266" s="3"/>
      <c r="F266" s="53"/>
      <c r="G266" s="53"/>
      <c r="H266" s="53"/>
      <c r="I266" s="54"/>
      <c r="J266" s="53"/>
      <c r="K266" s="53"/>
      <c r="L266" s="53"/>
      <c r="M266" s="53"/>
      <c r="N266" s="54"/>
      <c r="O266" s="53"/>
      <c r="P266" s="53"/>
    </row>
    <row r="267" spans="1:16">
      <c r="A267" s="53"/>
      <c r="B267" s="3"/>
      <c r="C267" s="9"/>
      <c r="D267" s="3"/>
      <c r="E267" s="3"/>
      <c r="F267" s="53"/>
      <c r="G267" s="53"/>
      <c r="H267" s="53"/>
      <c r="I267" s="54"/>
      <c r="J267" s="53"/>
      <c r="K267" s="53"/>
      <c r="L267" s="53"/>
      <c r="M267" s="53"/>
      <c r="N267" s="54"/>
      <c r="O267" s="53"/>
      <c r="P267" s="53"/>
    </row>
    <row r="268" spans="1:16">
      <c r="A268" s="53"/>
      <c r="B268" s="3"/>
      <c r="C268" s="9"/>
      <c r="D268" s="3"/>
      <c r="E268" s="3"/>
      <c r="F268" s="53"/>
      <c r="G268" s="53"/>
      <c r="H268" s="53"/>
      <c r="I268" s="54"/>
      <c r="J268" s="53"/>
      <c r="K268" s="53"/>
      <c r="L268" s="53"/>
      <c r="M268" s="53"/>
      <c r="N268" s="54"/>
      <c r="O268" s="53"/>
      <c r="P268" s="53"/>
    </row>
    <row r="269" spans="1:16">
      <c r="A269" s="53"/>
      <c r="B269" s="3"/>
      <c r="C269" s="9"/>
      <c r="D269" s="3"/>
      <c r="E269" s="3"/>
      <c r="F269" s="53"/>
      <c r="G269" s="53"/>
      <c r="H269" s="53"/>
      <c r="I269" s="54"/>
      <c r="J269" s="53"/>
      <c r="K269" s="53"/>
      <c r="L269" s="53"/>
      <c r="M269" s="53"/>
      <c r="N269" s="54"/>
      <c r="O269" s="53"/>
      <c r="P269" s="53"/>
    </row>
    <row r="270" spans="1:16">
      <c r="A270" s="53"/>
      <c r="B270" s="3"/>
      <c r="C270" s="9"/>
      <c r="D270" s="3"/>
      <c r="E270" s="3"/>
      <c r="F270" s="53"/>
      <c r="G270" s="53"/>
      <c r="H270" s="53"/>
      <c r="I270" s="54"/>
      <c r="J270" s="53"/>
      <c r="K270" s="53"/>
      <c r="L270" s="53"/>
      <c r="M270" s="53"/>
      <c r="N270" s="54"/>
      <c r="O270" s="53"/>
      <c r="P270" s="53"/>
    </row>
    <row r="271" spans="1:16">
      <c r="A271" s="53"/>
      <c r="B271" s="3"/>
      <c r="C271" s="9"/>
      <c r="D271" s="3"/>
      <c r="E271" s="3"/>
      <c r="F271" s="53"/>
      <c r="G271" s="53"/>
      <c r="H271" s="53"/>
      <c r="I271" s="54"/>
      <c r="J271" s="53"/>
      <c r="K271" s="53"/>
      <c r="L271" s="53"/>
      <c r="M271" s="53"/>
      <c r="N271" s="54"/>
      <c r="O271" s="53"/>
      <c r="P271" s="53"/>
    </row>
    <row r="272" spans="1:16">
      <c r="A272" s="53"/>
      <c r="B272" s="3"/>
      <c r="C272" s="9"/>
      <c r="D272" s="3"/>
      <c r="E272" s="3"/>
      <c r="F272" s="53"/>
      <c r="G272" s="53"/>
      <c r="H272" s="53"/>
      <c r="I272" s="54"/>
      <c r="J272" s="53"/>
      <c r="K272" s="53"/>
      <c r="L272" s="53"/>
      <c r="M272" s="53"/>
      <c r="N272" s="54"/>
      <c r="O272" s="53"/>
      <c r="P272" s="53"/>
    </row>
    <row r="273" spans="1:16">
      <c r="A273" s="53"/>
      <c r="B273" s="3"/>
      <c r="C273" s="9"/>
      <c r="D273" s="3"/>
      <c r="E273" s="3"/>
      <c r="F273" s="53"/>
      <c r="G273" s="53"/>
      <c r="H273" s="53"/>
      <c r="I273" s="54"/>
      <c r="J273" s="53"/>
      <c r="K273" s="53"/>
      <c r="L273" s="53"/>
      <c r="M273" s="53"/>
      <c r="N273" s="54"/>
      <c r="O273" s="53"/>
      <c r="P273" s="53"/>
    </row>
    <row r="274" spans="1:16">
      <c r="A274" s="53"/>
      <c r="B274" s="3"/>
      <c r="C274" s="9"/>
      <c r="D274" s="3"/>
      <c r="E274" s="3"/>
      <c r="F274" s="53"/>
      <c r="G274" s="53"/>
      <c r="H274" s="53"/>
      <c r="I274" s="54"/>
      <c r="J274" s="53"/>
      <c r="K274" s="53"/>
      <c r="L274" s="53"/>
      <c r="M274" s="53"/>
      <c r="N274" s="54"/>
      <c r="O274" s="53"/>
      <c r="P274" s="53"/>
    </row>
    <row r="275" spans="1:16">
      <c r="A275" s="53"/>
      <c r="B275" s="3"/>
      <c r="C275" s="9"/>
      <c r="D275" s="3"/>
      <c r="E275" s="3"/>
      <c r="F275" s="53"/>
      <c r="G275" s="53"/>
      <c r="H275" s="53"/>
      <c r="I275" s="54"/>
      <c r="J275" s="53"/>
      <c r="K275" s="53"/>
      <c r="L275" s="53"/>
      <c r="M275" s="53"/>
      <c r="N275" s="54"/>
      <c r="O275" s="53"/>
      <c r="P275" s="53"/>
    </row>
    <row r="276" spans="1:16">
      <c r="A276" s="53"/>
      <c r="B276" s="3"/>
      <c r="C276" s="9"/>
      <c r="D276" s="3"/>
      <c r="E276" s="3"/>
      <c r="F276" s="53"/>
      <c r="G276" s="53"/>
      <c r="H276" s="53"/>
      <c r="I276" s="54"/>
      <c r="J276" s="53"/>
      <c r="K276" s="53"/>
      <c r="L276" s="53"/>
      <c r="M276" s="53"/>
      <c r="N276" s="54"/>
      <c r="O276" s="53"/>
      <c r="P276" s="53"/>
    </row>
    <row r="277" spans="1:16">
      <c r="A277" s="53"/>
      <c r="B277" s="3"/>
      <c r="C277" s="9"/>
      <c r="D277" s="3"/>
      <c r="E277" s="3"/>
      <c r="F277" s="53"/>
      <c r="G277" s="53"/>
      <c r="H277" s="53"/>
      <c r="I277" s="54"/>
      <c r="J277" s="53"/>
      <c r="K277" s="53"/>
      <c r="L277" s="53"/>
      <c r="M277" s="53"/>
      <c r="N277" s="54"/>
      <c r="O277" s="53"/>
      <c r="P277" s="53"/>
    </row>
    <row r="278" spans="1:16">
      <c r="A278" s="53"/>
      <c r="B278" s="3"/>
      <c r="C278" s="9"/>
      <c r="D278" s="3"/>
      <c r="E278" s="3"/>
      <c r="F278" s="53"/>
      <c r="G278" s="53"/>
      <c r="H278" s="53"/>
      <c r="I278" s="54"/>
      <c r="J278" s="53"/>
      <c r="K278" s="53"/>
      <c r="L278" s="53"/>
      <c r="M278" s="53"/>
      <c r="N278" s="54"/>
      <c r="O278" s="53"/>
      <c r="P278" s="53"/>
    </row>
    <row r="279" spans="1:16">
      <c r="A279" s="53"/>
      <c r="B279" s="3"/>
      <c r="C279" s="9"/>
      <c r="D279" s="3"/>
      <c r="E279" s="3"/>
      <c r="F279" s="53"/>
      <c r="G279" s="53"/>
      <c r="H279" s="53"/>
      <c r="I279" s="54"/>
      <c r="J279" s="53"/>
      <c r="K279" s="53"/>
      <c r="L279" s="53"/>
      <c r="M279" s="53"/>
      <c r="N279" s="54"/>
      <c r="O279" s="53"/>
      <c r="P279" s="53"/>
    </row>
    <row r="280" spans="1:16">
      <c r="A280" s="53"/>
      <c r="B280" s="3"/>
      <c r="C280" s="9"/>
      <c r="D280" s="3"/>
      <c r="E280" s="3"/>
      <c r="F280" s="53"/>
      <c r="G280" s="53"/>
      <c r="H280" s="53"/>
      <c r="I280" s="54"/>
      <c r="J280" s="53"/>
      <c r="K280" s="53"/>
      <c r="L280" s="53"/>
      <c r="M280" s="53"/>
      <c r="N280" s="54"/>
      <c r="O280" s="53"/>
      <c r="P280" s="53"/>
    </row>
    <row r="281" spans="1:16">
      <c r="A281" s="53"/>
      <c r="B281" s="3"/>
      <c r="C281" s="9"/>
      <c r="D281" s="3"/>
      <c r="E281" s="3"/>
      <c r="F281" s="53"/>
      <c r="G281" s="53"/>
      <c r="H281" s="53"/>
      <c r="I281" s="54"/>
      <c r="J281" s="53"/>
      <c r="K281" s="53"/>
      <c r="L281" s="53"/>
      <c r="M281" s="53"/>
      <c r="N281" s="54"/>
      <c r="O281" s="53"/>
      <c r="P281" s="53"/>
    </row>
    <row r="282" spans="1:16">
      <c r="A282" s="53"/>
      <c r="B282" s="3"/>
      <c r="C282" s="9"/>
      <c r="D282" s="3"/>
      <c r="E282" s="3"/>
      <c r="F282" s="53"/>
      <c r="G282" s="53"/>
      <c r="H282" s="53"/>
      <c r="I282" s="54"/>
      <c r="J282" s="53"/>
      <c r="K282" s="53"/>
      <c r="L282" s="53"/>
      <c r="M282" s="53"/>
      <c r="N282" s="54"/>
      <c r="O282" s="53"/>
      <c r="P282" s="53"/>
    </row>
    <row r="283" spans="1:16">
      <c r="A283" s="53"/>
      <c r="B283" s="3"/>
      <c r="C283" s="9"/>
      <c r="D283" s="3"/>
      <c r="E283" s="3"/>
      <c r="F283" s="53"/>
      <c r="G283" s="53"/>
      <c r="H283" s="53"/>
      <c r="I283" s="54"/>
      <c r="J283" s="53"/>
      <c r="K283" s="53"/>
      <c r="L283" s="53"/>
      <c r="M283" s="53"/>
      <c r="N283" s="54"/>
      <c r="O283" s="53"/>
      <c r="P283" s="53"/>
    </row>
    <row r="284" spans="1:16">
      <c r="A284" s="53"/>
      <c r="B284" s="3"/>
      <c r="C284" s="9"/>
      <c r="D284" s="3"/>
      <c r="E284" s="3"/>
      <c r="F284" s="53"/>
      <c r="G284" s="53"/>
      <c r="H284" s="53"/>
      <c r="I284" s="54"/>
      <c r="J284" s="53"/>
      <c r="K284" s="53"/>
      <c r="L284" s="53"/>
      <c r="M284" s="53"/>
      <c r="N284" s="54"/>
      <c r="O284" s="53"/>
      <c r="P284" s="53"/>
    </row>
    <row r="285" spans="1:16">
      <c r="A285" s="53"/>
      <c r="B285" s="3"/>
      <c r="C285" s="9"/>
      <c r="D285" s="3"/>
      <c r="E285" s="3"/>
      <c r="F285" s="53"/>
      <c r="G285" s="53"/>
      <c r="H285" s="53"/>
      <c r="I285" s="54"/>
      <c r="J285" s="53"/>
      <c r="K285" s="53"/>
      <c r="L285" s="53"/>
      <c r="M285" s="53"/>
      <c r="N285" s="54"/>
      <c r="O285" s="53"/>
      <c r="P285" s="53"/>
    </row>
    <row r="286" spans="1:16">
      <c r="A286" s="53"/>
      <c r="B286" s="3"/>
      <c r="C286" s="9"/>
      <c r="D286" s="3"/>
      <c r="E286" s="3"/>
      <c r="F286" s="53"/>
      <c r="G286" s="53"/>
      <c r="H286" s="53"/>
      <c r="I286" s="54"/>
      <c r="J286" s="53"/>
      <c r="K286" s="53"/>
      <c r="L286" s="53"/>
      <c r="M286" s="53"/>
      <c r="N286" s="54"/>
      <c r="O286" s="53"/>
      <c r="P286" s="53"/>
    </row>
    <row r="287" spans="1:16">
      <c r="A287" s="53"/>
      <c r="B287" s="3"/>
      <c r="C287" s="9"/>
      <c r="D287" s="3"/>
      <c r="E287" s="3"/>
      <c r="F287" s="53"/>
      <c r="G287" s="53"/>
      <c r="H287" s="53"/>
      <c r="I287" s="54"/>
      <c r="J287" s="53"/>
      <c r="K287" s="53"/>
      <c r="L287" s="53"/>
      <c r="M287" s="53"/>
      <c r="N287" s="54"/>
      <c r="O287" s="53"/>
      <c r="P287" s="53"/>
    </row>
    <row r="288" spans="1:16">
      <c r="A288" s="53"/>
      <c r="B288" s="3"/>
      <c r="C288" s="9"/>
      <c r="D288" s="3"/>
      <c r="E288" s="3"/>
      <c r="F288" s="53"/>
      <c r="G288" s="53"/>
      <c r="H288" s="53"/>
      <c r="I288" s="54"/>
      <c r="J288" s="53"/>
      <c r="K288" s="53"/>
      <c r="L288" s="53"/>
      <c r="M288" s="53"/>
      <c r="N288" s="54"/>
      <c r="O288" s="53"/>
      <c r="P288" s="53"/>
    </row>
    <row r="289" spans="1:16">
      <c r="A289" s="53"/>
      <c r="B289" s="3"/>
      <c r="C289" s="9"/>
      <c r="D289" s="3"/>
      <c r="E289" s="3"/>
      <c r="F289" s="53"/>
      <c r="G289" s="53"/>
      <c r="H289" s="53"/>
      <c r="I289" s="54"/>
      <c r="J289" s="53"/>
      <c r="K289" s="53"/>
      <c r="L289" s="53"/>
      <c r="M289" s="53"/>
      <c r="N289" s="54"/>
      <c r="O289" s="53"/>
      <c r="P289" s="53"/>
    </row>
    <row r="290" spans="1:16">
      <c r="A290" s="53"/>
      <c r="B290" s="3"/>
      <c r="C290" s="9"/>
      <c r="D290" s="3"/>
      <c r="E290" s="3"/>
      <c r="F290" s="53"/>
      <c r="G290" s="53"/>
      <c r="H290" s="53"/>
      <c r="I290" s="54"/>
      <c r="J290" s="53"/>
      <c r="K290" s="53"/>
      <c r="L290" s="53"/>
      <c r="M290" s="53"/>
      <c r="N290" s="54"/>
      <c r="O290" s="53"/>
      <c r="P290" s="53"/>
    </row>
    <row r="291" spans="1:16">
      <c r="A291" s="53"/>
      <c r="B291" s="3"/>
      <c r="C291" s="9"/>
      <c r="D291" s="3"/>
      <c r="E291" s="3"/>
      <c r="F291" s="53"/>
      <c r="G291" s="53"/>
      <c r="H291" s="53"/>
      <c r="I291" s="54"/>
      <c r="J291" s="53"/>
      <c r="K291" s="53"/>
      <c r="L291" s="53"/>
      <c r="M291" s="53"/>
      <c r="N291" s="54"/>
      <c r="O291" s="53"/>
      <c r="P291" s="53"/>
    </row>
    <row r="292" spans="1:16">
      <c r="A292" s="53"/>
      <c r="B292" s="3"/>
      <c r="C292" s="9"/>
      <c r="D292" s="3"/>
      <c r="E292" s="3"/>
      <c r="F292" s="53"/>
      <c r="G292" s="53"/>
      <c r="H292" s="53"/>
      <c r="I292" s="54"/>
      <c r="J292" s="53"/>
      <c r="K292" s="53"/>
      <c r="L292" s="53"/>
      <c r="M292" s="53"/>
      <c r="N292" s="54"/>
      <c r="O292" s="53"/>
      <c r="P292" s="53"/>
    </row>
    <row r="293" spans="1:16">
      <c r="A293" s="53"/>
      <c r="B293" s="3"/>
      <c r="C293" s="9"/>
      <c r="D293" s="3"/>
      <c r="E293" s="3"/>
      <c r="F293" s="53"/>
      <c r="G293" s="53"/>
      <c r="H293" s="53"/>
      <c r="I293" s="54"/>
      <c r="J293" s="53"/>
      <c r="K293" s="53"/>
      <c r="L293" s="53"/>
      <c r="M293" s="53"/>
      <c r="N293" s="54"/>
      <c r="O293" s="53"/>
      <c r="P293" s="53"/>
    </row>
    <row r="294" spans="1:16">
      <c r="A294" s="53"/>
      <c r="B294" s="3"/>
      <c r="C294" s="9"/>
      <c r="D294" s="3"/>
      <c r="E294" s="3"/>
      <c r="F294" s="53"/>
      <c r="G294" s="53"/>
      <c r="H294" s="53"/>
      <c r="I294" s="54"/>
      <c r="J294" s="53"/>
      <c r="K294" s="53"/>
      <c r="L294" s="53"/>
      <c r="M294" s="53"/>
      <c r="N294" s="54"/>
      <c r="O294" s="53"/>
      <c r="P294" s="53"/>
    </row>
    <row r="295" spans="1:16">
      <c r="A295" s="53"/>
      <c r="B295" s="3"/>
      <c r="C295" s="9"/>
      <c r="D295" s="3"/>
      <c r="E295" s="3"/>
      <c r="F295" s="53"/>
      <c r="G295" s="53"/>
      <c r="H295" s="53"/>
      <c r="I295" s="54"/>
      <c r="J295" s="53"/>
      <c r="K295" s="53"/>
      <c r="L295" s="53"/>
      <c r="M295" s="53"/>
      <c r="N295" s="54"/>
      <c r="O295" s="53"/>
      <c r="P295" s="53"/>
    </row>
    <row r="296" spans="1:16">
      <c r="A296" s="53"/>
      <c r="B296" s="3"/>
      <c r="C296" s="9"/>
      <c r="D296" s="3"/>
      <c r="E296" s="3"/>
      <c r="F296" s="53"/>
      <c r="G296" s="53"/>
      <c r="H296" s="53"/>
      <c r="I296" s="54"/>
      <c r="J296" s="53"/>
      <c r="K296" s="53"/>
      <c r="L296" s="53"/>
      <c r="M296" s="53"/>
      <c r="N296" s="54"/>
      <c r="O296" s="53"/>
      <c r="P296" s="53"/>
    </row>
    <row r="297" spans="1:16">
      <c r="A297" s="53"/>
      <c r="B297" s="3"/>
      <c r="C297" s="9"/>
      <c r="D297" s="3"/>
      <c r="E297" s="3"/>
      <c r="F297" s="53"/>
      <c r="G297" s="53"/>
      <c r="H297" s="53"/>
      <c r="I297" s="54"/>
      <c r="J297" s="53"/>
      <c r="K297" s="53"/>
      <c r="L297" s="53"/>
      <c r="M297" s="53"/>
      <c r="N297" s="54"/>
      <c r="O297" s="53"/>
      <c r="P297" s="53"/>
    </row>
    <row r="298" spans="1:16">
      <c r="A298" s="53"/>
      <c r="B298" s="3"/>
      <c r="C298" s="9"/>
      <c r="D298" s="3"/>
      <c r="E298" s="3"/>
      <c r="F298" s="53"/>
      <c r="G298" s="53"/>
      <c r="H298" s="53"/>
      <c r="I298" s="54"/>
      <c r="J298" s="53"/>
      <c r="K298" s="53"/>
      <c r="L298" s="53"/>
      <c r="M298" s="53"/>
      <c r="N298" s="54"/>
      <c r="O298" s="53"/>
      <c r="P298" s="53"/>
    </row>
    <row r="299" spans="1:16">
      <c r="A299" s="53"/>
      <c r="B299" s="3"/>
      <c r="C299" s="9"/>
      <c r="D299" s="3"/>
      <c r="E299" s="3"/>
      <c r="F299" s="53"/>
      <c r="G299" s="53"/>
      <c r="H299" s="53"/>
      <c r="I299" s="54"/>
      <c r="J299" s="53"/>
      <c r="K299" s="53"/>
      <c r="L299" s="53"/>
      <c r="M299" s="53"/>
      <c r="N299" s="54"/>
      <c r="O299" s="53"/>
      <c r="P299" s="53"/>
    </row>
    <row r="300" spans="1:16">
      <c r="A300" s="53"/>
      <c r="B300" s="3"/>
      <c r="C300" s="9"/>
      <c r="D300" s="3"/>
      <c r="E300" s="3"/>
      <c r="F300" s="53"/>
      <c r="G300" s="53"/>
      <c r="H300" s="53"/>
      <c r="I300" s="54"/>
      <c r="J300" s="53"/>
      <c r="K300" s="53"/>
      <c r="L300" s="53"/>
      <c r="M300" s="53"/>
      <c r="N300" s="54"/>
      <c r="O300" s="53"/>
      <c r="P300" s="53"/>
    </row>
    <row r="301" spans="1:16">
      <c r="A301" s="53"/>
      <c r="B301" s="3"/>
      <c r="C301" s="9"/>
      <c r="D301" s="3"/>
      <c r="E301" s="3"/>
      <c r="F301" s="53"/>
      <c r="G301" s="53"/>
      <c r="H301" s="53"/>
      <c r="I301" s="54"/>
      <c r="J301" s="53"/>
      <c r="K301" s="53"/>
      <c r="L301" s="53"/>
      <c r="M301" s="53"/>
      <c r="N301" s="54"/>
      <c r="O301" s="53"/>
      <c r="P301" s="53"/>
    </row>
    <row r="302" spans="1:16">
      <c r="A302" s="53"/>
      <c r="B302" s="3"/>
      <c r="C302" s="9"/>
      <c r="D302" s="3"/>
      <c r="E302" s="3"/>
      <c r="F302" s="53"/>
      <c r="G302" s="53"/>
      <c r="H302" s="53"/>
      <c r="I302" s="54"/>
      <c r="J302" s="53"/>
      <c r="K302" s="53"/>
      <c r="L302" s="53"/>
      <c r="M302" s="53"/>
      <c r="N302" s="54"/>
      <c r="O302" s="53"/>
      <c r="P302" s="53"/>
    </row>
    <row r="303" spans="1:16">
      <c r="A303" s="53"/>
      <c r="B303" s="3"/>
      <c r="C303" s="9"/>
      <c r="D303" s="3"/>
      <c r="E303" s="3"/>
      <c r="F303" s="53"/>
      <c r="G303" s="53"/>
      <c r="H303" s="53"/>
      <c r="I303" s="54"/>
      <c r="J303" s="53"/>
      <c r="K303" s="53"/>
      <c r="L303" s="53"/>
      <c r="M303" s="53"/>
      <c r="N303" s="54"/>
      <c r="O303" s="53"/>
      <c r="P303" s="53"/>
    </row>
    <row r="304" spans="1:16">
      <c r="A304" s="53"/>
      <c r="B304" s="3"/>
      <c r="C304" s="9"/>
      <c r="D304" s="3"/>
      <c r="E304" s="3"/>
      <c r="F304" s="53"/>
      <c r="G304" s="53"/>
      <c r="H304" s="53"/>
      <c r="I304" s="54"/>
      <c r="J304" s="53"/>
      <c r="K304" s="53"/>
      <c r="L304" s="53"/>
      <c r="M304" s="53"/>
      <c r="N304" s="54"/>
      <c r="O304" s="53"/>
      <c r="P304" s="53"/>
    </row>
    <row r="305" spans="1:16">
      <c r="A305" s="53"/>
      <c r="B305" s="3"/>
      <c r="C305" s="9"/>
      <c r="D305" s="3"/>
      <c r="E305" s="3"/>
      <c r="F305" s="53"/>
      <c r="G305" s="53"/>
      <c r="H305" s="53"/>
      <c r="I305" s="54"/>
      <c r="J305" s="53"/>
      <c r="K305" s="53"/>
      <c r="L305" s="53"/>
      <c r="M305" s="53"/>
      <c r="N305" s="54"/>
      <c r="O305" s="53"/>
      <c r="P305" s="53"/>
    </row>
    <row r="306" spans="1:16">
      <c r="A306" s="53"/>
      <c r="B306" s="3"/>
      <c r="C306" s="9"/>
      <c r="D306" s="3"/>
      <c r="E306" s="3"/>
      <c r="F306" s="53"/>
      <c r="G306" s="53"/>
      <c r="H306" s="53"/>
      <c r="I306" s="54"/>
      <c r="J306" s="53"/>
      <c r="K306" s="53"/>
      <c r="L306" s="53"/>
      <c r="M306" s="53"/>
      <c r="N306" s="54"/>
      <c r="O306" s="53"/>
      <c r="P306" s="53"/>
    </row>
    <row r="307" spans="1:16">
      <c r="A307" s="53"/>
      <c r="B307" s="3"/>
      <c r="C307" s="9"/>
      <c r="D307" s="3"/>
      <c r="E307" s="3"/>
      <c r="F307" s="53"/>
      <c r="G307" s="53"/>
      <c r="H307" s="53"/>
      <c r="I307" s="54"/>
      <c r="J307" s="53"/>
      <c r="K307" s="53"/>
      <c r="L307" s="53"/>
      <c r="M307" s="53"/>
      <c r="N307" s="54"/>
      <c r="O307" s="53"/>
      <c r="P307" s="53"/>
    </row>
    <row r="308" spans="1:16">
      <c r="A308" s="53"/>
      <c r="B308" s="3"/>
      <c r="C308" s="9"/>
      <c r="D308" s="3"/>
      <c r="E308" s="3"/>
      <c r="F308" s="53"/>
      <c r="G308" s="53"/>
      <c r="H308" s="53"/>
      <c r="I308" s="54"/>
      <c r="J308" s="53"/>
      <c r="K308" s="53"/>
      <c r="L308" s="53"/>
      <c r="M308" s="53"/>
      <c r="N308" s="54"/>
      <c r="O308" s="53"/>
      <c r="P308" s="53"/>
    </row>
    <row r="309" spans="1:16">
      <c r="A309" s="53"/>
      <c r="B309" s="3"/>
      <c r="C309" s="9"/>
      <c r="D309" s="3"/>
      <c r="E309" s="3"/>
      <c r="F309" s="53"/>
      <c r="G309" s="53"/>
      <c r="H309" s="53"/>
      <c r="I309" s="54"/>
      <c r="J309" s="53"/>
      <c r="K309" s="53"/>
      <c r="L309" s="53"/>
      <c r="M309" s="53"/>
      <c r="N309" s="54"/>
      <c r="O309" s="53"/>
      <c r="P309" s="53"/>
    </row>
    <row r="310" spans="1:16">
      <c r="A310" s="53"/>
      <c r="B310" s="3"/>
      <c r="C310" s="9"/>
      <c r="D310" s="3"/>
      <c r="E310" s="3"/>
      <c r="F310" s="53"/>
      <c r="G310" s="53"/>
      <c r="H310" s="53"/>
      <c r="I310" s="54"/>
      <c r="J310" s="53"/>
      <c r="K310" s="53"/>
      <c r="L310" s="53"/>
      <c r="M310" s="53"/>
      <c r="N310" s="54"/>
      <c r="O310" s="53"/>
      <c r="P310" s="53"/>
    </row>
    <row r="311" spans="1:16">
      <c r="A311" s="53"/>
      <c r="B311" s="3"/>
      <c r="C311" s="9"/>
      <c r="D311" s="3"/>
      <c r="E311" s="3"/>
      <c r="F311" s="53"/>
      <c r="G311" s="53"/>
      <c r="H311" s="53"/>
      <c r="I311" s="54"/>
      <c r="J311" s="53"/>
      <c r="K311" s="53"/>
      <c r="L311" s="53"/>
      <c r="M311" s="53"/>
      <c r="N311" s="54"/>
      <c r="O311" s="53"/>
      <c r="P311" s="53"/>
    </row>
    <row r="312" spans="1:16">
      <c r="A312" s="53"/>
      <c r="B312" s="3"/>
      <c r="C312" s="9"/>
      <c r="D312" s="3"/>
      <c r="E312" s="3"/>
      <c r="F312" s="53"/>
      <c r="G312" s="53"/>
      <c r="H312" s="53"/>
      <c r="I312" s="54"/>
      <c r="J312" s="53"/>
      <c r="K312" s="53"/>
      <c r="L312" s="53"/>
      <c r="M312" s="53"/>
      <c r="N312" s="54"/>
      <c r="O312" s="53"/>
      <c r="P312" s="53"/>
    </row>
    <row r="313" spans="1:16">
      <c r="A313" s="53"/>
      <c r="B313" s="3"/>
      <c r="C313" s="9"/>
      <c r="D313" s="3"/>
      <c r="E313" s="3"/>
      <c r="F313" s="53"/>
      <c r="G313" s="53"/>
      <c r="H313" s="53"/>
      <c r="I313" s="54"/>
      <c r="J313" s="53"/>
      <c r="K313" s="53"/>
      <c r="L313" s="53"/>
      <c r="M313" s="53"/>
      <c r="N313" s="54"/>
      <c r="O313" s="53"/>
      <c r="P313" s="53"/>
    </row>
    <row r="314" spans="1:16">
      <c r="A314" s="53"/>
      <c r="B314" s="3"/>
      <c r="C314" s="9"/>
      <c r="D314" s="3"/>
      <c r="E314" s="3"/>
      <c r="F314" s="53"/>
      <c r="G314" s="53"/>
      <c r="H314" s="53"/>
      <c r="I314" s="54"/>
      <c r="J314" s="53"/>
      <c r="K314" s="53"/>
      <c r="L314" s="53"/>
      <c r="M314" s="53"/>
      <c r="N314" s="54"/>
      <c r="O314" s="53"/>
      <c r="P314" s="53"/>
    </row>
    <row r="315" spans="1:16">
      <c r="A315" s="53"/>
      <c r="B315" s="3"/>
      <c r="C315" s="9"/>
      <c r="D315" s="3"/>
      <c r="E315" s="3"/>
      <c r="F315" s="53"/>
      <c r="G315" s="53"/>
      <c r="H315" s="53"/>
      <c r="I315" s="54"/>
      <c r="J315" s="53"/>
      <c r="K315" s="53"/>
      <c r="L315" s="53"/>
      <c r="M315" s="53"/>
      <c r="N315" s="54"/>
      <c r="O315" s="53"/>
      <c r="P315" s="53"/>
    </row>
    <row r="316" spans="1:16">
      <c r="A316" s="53"/>
      <c r="B316" s="3"/>
      <c r="C316" s="9"/>
      <c r="D316" s="3"/>
      <c r="E316" s="3"/>
      <c r="F316" s="53"/>
      <c r="G316" s="53"/>
      <c r="H316" s="53"/>
      <c r="I316" s="54"/>
      <c r="J316" s="53"/>
      <c r="K316" s="53"/>
      <c r="L316" s="53"/>
      <c r="M316" s="53"/>
      <c r="N316" s="54"/>
      <c r="O316" s="53"/>
      <c r="P316" s="53"/>
    </row>
    <row r="317" spans="1:16">
      <c r="A317" s="53"/>
      <c r="B317" s="3"/>
      <c r="C317" s="9"/>
      <c r="D317" s="3"/>
      <c r="E317" s="3"/>
      <c r="F317" s="53"/>
      <c r="G317" s="53"/>
      <c r="H317" s="53"/>
      <c r="I317" s="54"/>
      <c r="J317" s="53"/>
      <c r="K317" s="53"/>
      <c r="L317" s="53"/>
      <c r="M317" s="53"/>
      <c r="N317" s="54"/>
      <c r="O317" s="53"/>
      <c r="P317" s="53"/>
    </row>
    <row r="318" spans="1:16">
      <c r="A318" s="53"/>
      <c r="B318" s="3"/>
      <c r="C318" s="9"/>
      <c r="D318" s="3"/>
      <c r="E318" s="3"/>
      <c r="F318" s="53"/>
      <c r="G318" s="53"/>
      <c r="H318" s="53"/>
      <c r="I318" s="54"/>
      <c r="J318" s="53"/>
      <c r="K318" s="53"/>
      <c r="L318" s="53"/>
      <c r="M318" s="53"/>
      <c r="N318" s="54"/>
      <c r="O318" s="53"/>
      <c r="P318" s="53"/>
    </row>
    <row r="319" spans="1:16">
      <c r="A319" s="53"/>
      <c r="B319" s="3"/>
      <c r="C319" s="9"/>
      <c r="D319" s="3"/>
      <c r="E319" s="3"/>
      <c r="F319" s="53"/>
      <c r="G319" s="53"/>
      <c r="H319" s="53"/>
      <c r="I319" s="54"/>
      <c r="J319" s="53"/>
      <c r="K319" s="53"/>
      <c r="L319" s="53"/>
      <c r="M319" s="53"/>
      <c r="N319" s="54"/>
      <c r="O319" s="53"/>
      <c r="P319" s="53"/>
    </row>
    <row r="320" spans="1:16">
      <c r="A320" s="53"/>
      <c r="B320" s="3"/>
      <c r="C320" s="9"/>
      <c r="D320" s="3"/>
      <c r="E320" s="3"/>
      <c r="F320" s="53"/>
      <c r="G320" s="53"/>
      <c r="H320" s="53"/>
      <c r="I320" s="54"/>
      <c r="J320" s="53"/>
      <c r="K320" s="53"/>
      <c r="L320" s="53"/>
      <c r="M320" s="53"/>
      <c r="N320" s="54"/>
      <c r="O320" s="53"/>
      <c r="P320" s="53"/>
    </row>
    <row r="321" spans="1:16">
      <c r="A321" s="53"/>
      <c r="B321" s="3"/>
      <c r="C321" s="9"/>
      <c r="D321" s="3"/>
      <c r="E321" s="3"/>
      <c r="F321" s="53"/>
      <c r="G321" s="53"/>
      <c r="H321" s="53"/>
      <c r="I321" s="54"/>
      <c r="J321" s="53"/>
      <c r="K321" s="53"/>
      <c r="L321" s="53"/>
      <c r="M321" s="53"/>
      <c r="N321" s="54"/>
      <c r="O321" s="53"/>
      <c r="P321" s="53"/>
    </row>
    <row r="322" spans="1:16">
      <c r="A322" s="53"/>
      <c r="B322" s="3"/>
      <c r="C322" s="9"/>
      <c r="D322" s="3"/>
      <c r="E322" s="3"/>
      <c r="F322" s="53"/>
      <c r="G322" s="53"/>
      <c r="H322" s="53"/>
      <c r="I322" s="54"/>
      <c r="J322" s="53"/>
      <c r="K322" s="53"/>
      <c r="L322" s="53"/>
      <c r="M322" s="53"/>
      <c r="N322" s="54"/>
      <c r="O322" s="53"/>
      <c r="P322" s="53"/>
    </row>
    <row r="323" spans="1:16">
      <c r="A323" s="53"/>
      <c r="B323" s="3"/>
      <c r="C323" s="9"/>
      <c r="D323" s="3"/>
      <c r="E323" s="3"/>
      <c r="F323" s="53"/>
      <c r="G323" s="53"/>
      <c r="H323" s="53"/>
      <c r="I323" s="54"/>
      <c r="J323" s="53"/>
      <c r="K323" s="53"/>
      <c r="L323" s="53"/>
      <c r="M323" s="53"/>
      <c r="N323" s="54"/>
      <c r="O323" s="53"/>
      <c r="P323" s="53"/>
    </row>
    <row r="324" spans="1:16">
      <c r="A324" s="53"/>
      <c r="B324" s="3"/>
      <c r="C324" s="9"/>
      <c r="D324" s="3"/>
      <c r="E324" s="3"/>
      <c r="F324" s="53"/>
      <c r="G324" s="53"/>
      <c r="H324" s="53"/>
      <c r="I324" s="54"/>
      <c r="J324" s="53"/>
      <c r="K324" s="53"/>
      <c r="L324" s="53"/>
      <c r="M324" s="53"/>
      <c r="N324" s="54"/>
      <c r="O324" s="53"/>
      <c r="P324" s="53"/>
    </row>
    <row r="325" spans="1:16">
      <c r="A325" s="53"/>
      <c r="B325" s="3"/>
      <c r="C325" s="9"/>
      <c r="D325" s="3"/>
      <c r="E325" s="3"/>
      <c r="F325" s="53"/>
      <c r="G325" s="53"/>
      <c r="H325" s="53"/>
      <c r="I325" s="54"/>
      <c r="J325" s="53"/>
      <c r="K325" s="53"/>
      <c r="L325" s="53"/>
      <c r="M325" s="53"/>
      <c r="N325" s="54"/>
      <c r="O325" s="53"/>
      <c r="P325" s="53"/>
    </row>
    <row r="326" spans="1:16">
      <c r="A326" s="53"/>
      <c r="B326" s="3"/>
      <c r="C326" s="9"/>
      <c r="D326" s="3"/>
      <c r="E326" s="3"/>
      <c r="F326" s="53"/>
      <c r="G326" s="53"/>
      <c r="H326" s="53"/>
      <c r="I326" s="54"/>
      <c r="J326" s="53"/>
      <c r="K326" s="53"/>
      <c r="L326" s="53"/>
      <c r="M326" s="53"/>
      <c r="N326" s="54"/>
      <c r="O326" s="53"/>
      <c r="P326" s="53"/>
    </row>
    <row r="327" spans="1:16">
      <c r="A327" s="53"/>
      <c r="B327" s="3"/>
      <c r="C327" s="9"/>
      <c r="D327" s="3"/>
      <c r="E327" s="3"/>
      <c r="F327" s="53"/>
      <c r="G327" s="53"/>
      <c r="H327" s="53"/>
      <c r="I327" s="54"/>
      <c r="J327" s="53"/>
      <c r="K327" s="53"/>
      <c r="L327" s="53"/>
      <c r="M327" s="53"/>
      <c r="N327" s="54"/>
      <c r="O327" s="53"/>
      <c r="P327" s="53"/>
    </row>
    <row r="328" spans="1:16">
      <c r="A328" s="53"/>
      <c r="B328" s="3"/>
      <c r="C328" s="9"/>
      <c r="D328" s="3"/>
      <c r="E328" s="3"/>
      <c r="F328" s="53"/>
      <c r="G328" s="53"/>
      <c r="H328" s="53"/>
      <c r="I328" s="54"/>
      <c r="J328" s="53"/>
      <c r="K328" s="53"/>
      <c r="L328" s="53"/>
      <c r="M328" s="53"/>
      <c r="N328" s="54"/>
      <c r="O328" s="53"/>
      <c r="P328" s="53"/>
    </row>
    <row r="329" spans="1:16">
      <c r="A329" s="53"/>
      <c r="B329" s="3"/>
      <c r="C329" s="9"/>
      <c r="D329" s="3"/>
      <c r="E329" s="3"/>
      <c r="F329" s="53"/>
      <c r="G329" s="53"/>
      <c r="H329" s="53"/>
      <c r="I329" s="54"/>
      <c r="J329" s="53"/>
      <c r="K329" s="53"/>
      <c r="L329" s="53"/>
      <c r="M329" s="53"/>
      <c r="N329" s="54"/>
      <c r="O329" s="53"/>
      <c r="P329" s="53"/>
    </row>
    <row r="330" spans="1:16">
      <c r="A330" s="53"/>
      <c r="B330" s="3"/>
      <c r="C330" s="9"/>
      <c r="D330" s="3"/>
      <c r="E330" s="3"/>
      <c r="F330" s="53"/>
      <c r="G330" s="53"/>
      <c r="H330" s="53"/>
      <c r="I330" s="54"/>
      <c r="J330" s="53"/>
      <c r="K330" s="53"/>
      <c r="L330" s="53"/>
      <c r="M330" s="53"/>
      <c r="N330" s="54"/>
      <c r="O330" s="53"/>
      <c r="P330" s="53"/>
    </row>
    <row r="331" spans="1:16">
      <c r="A331" s="53"/>
      <c r="B331" s="3"/>
      <c r="C331" s="9"/>
      <c r="D331" s="3"/>
      <c r="E331" s="3"/>
      <c r="F331" s="53"/>
      <c r="G331" s="53"/>
      <c r="H331" s="53"/>
      <c r="I331" s="54"/>
      <c r="J331" s="53"/>
      <c r="K331" s="53"/>
      <c r="L331" s="53"/>
      <c r="M331" s="53"/>
      <c r="N331" s="54"/>
      <c r="O331" s="53"/>
      <c r="P331" s="53"/>
    </row>
    <row r="332" spans="1:16">
      <c r="A332" s="53"/>
      <c r="B332" s="3"/>
      <c r="C332" s="9"/>
      <c r="D332" s="3"/>
      <c r="E332" s="3"/>
      <c r="F332" s="53"/>
      <c r="G332" s="53"/>
      <c r="H332" s="53"/>
      <c r="I332" s="54"/>
      <c r="J332" s="53"/>
      <c r="K332" s="53"/>
      <c r="L332" s="53"/>
      <c r="M332" s="53"/>
      <c r="N332" s="54"/>
      <c r="O332" s="53"/>
      <c r="P332" s="53"/>
    </row>
    <row r="333" spans="1:16">
      <c r="A333" s="53"/>
      <c r="B333" s="3"/>
      <c r="C333" s="9"/>
      <c r="D333" s="3"/>
      <c r="E333" s="3"/>
      <c r="F333" s="53"/>
      <c r="G333" s="53"/>
      <c r="H333" s="53"/>
      <c r="I333" s="54"/>
      <c r="J333" s="53"/>
      <c r="K333" s="53"/>
      <c r="L333" s="53"/>
      <c r="M333" s="53"/>
      <c r="N333" s="54"/>
      <c r="O333" s="53"/>
      <c r="P333" s="53"/>
    </row>
    <row r="334" spans="1:16">
      <c r="A334" s="53"/>
      <c r="B334" s="3"/>
      <c r="C334" s="9"/>
      <c r="D334" s="3"/>
      <c r="E334" s="3"/>
      <c r="F334" s="53"/>
      <c r="G334" s="53"/>
      <c r="H334" s="53"/>
      <c r="I334" s="54"/>
      <c r="J334" s="53"/>
      <c r="K334" s="53"/>
      <c r="L334" s="53"/>
      <c r="M334" s="53"/>
      <c r="N334" s="54"/>
      <c r="O334" s="53"/>
      <c r="P334" s="53"/>
    </row>
    <row r="335" spans="1:16">
      <c r="A335" s="53"/>
      <c r="B335" s="3"/>
      <c r="C335" s="9"/>
      <c r="D335" s="3"/>
      <c r="E335" s="3"/>
      <c r="F335" s="53"/>
      <c r="G335" s="53"/>
      <c r="H335" s="53"/>
      <c r="I335" s="54"/>
      <c r="J335" s="53"/>
      <c r="K335" s="53"/>
      <c r="L335" s="53"/>
      <c r="M335" s="53"/>
      <c r="N335" s="54"/>
      <c r="O335" s="53"/>
      <c r="P335" s="53"/>
    </row>
    <row r="336" spans="1:16">
      <c r="A336" s="53"/>
      <c r="B336" s="3"/>
      <c r="C336" s="9"/>
      <c r="D336" s="3"/>
      <c r="E336" s="3"/>
      <c r="F336" s="53"/>
      <c r="G336" s="53"/>
      <c r="H336" s="53"/>
      <c r="I336" s="54"/>
      <c r="J336" s="53"/>
      <c r="K336" s="53"/>
      <c r="L336" s="53"/>
      <c r="M336" s="53"/>
      <c r="N336" s="54"/>
      <c r="O336" s="53"/>
      <c r="P336" s="53"/>
    </row>
    <row r="337" spans="1:16">
      <c r="A337" s="53"/>
      <c r="B337" s="3"/>
      <c r="C337" s="9"/>
      <c r="D337" s="3"/>
      <c r="E337" s="3"/>
      <c r="F337" s="53"/>
      <c r="G337" s="53"/>
      <c r="H337" s="53"/>
      <c r="I337" s="54"/>
      <c r="J337" s="53"/>
      <c r="K337" s="53"/>
      <c r="L337" s="53"/>
      <c r="M337" s="53"/>
      <c r="N337" s="54"/>
      <c r="O337" s="53"/>
      <c r="P337" s="53"/>
    </row>
    <row r="338" spans="1:16">
      <c r="A338" s="53"/>
      <c r="B338" s="3"/>
      <c r="C338" s="9"/>
      <c r="D338" s="3"/>
      <c r="E338" s="3"/>
      <c r="F338" s="53"/>
      <c r="G338" s="53"/>
      <c r="H338" s="53"/>
      <c r="I338" s="54"/>
      <c r="J338" s="53"/>
      <c r="K338" s="53"/>
      <c r="L338" s="53"/>
      <c r="M338" s="53"/>
      <c r="N338" s="54"/>
      <c r="O338" s="53"/>
      <c r="P338" s="53"/>
    </row>
    <row r="339" spans="1:16">
      <c r="A339" s="53"/>
      <c r="B339" s="3"/>
      <c r="C339" s="9"/>
      <c r="D339" s="3"/>
      <c r="E339" s="3"/>
      <c r="F339" s="53"/>
      <c r="G339" s="53"/>
      <c r="H339" s="53"/>
      <c r="I339" s="54"/>
      <c r="J339" s="53"/>
      <c r="K339" s="53"/>
      <c r="L339" s="53"/>
      <c r="M339" s="53"/>
      <c r="N339" s="54"/>
      <c r="O339" s="53"/>
      <c r="P339" s="53"/>
    </row>
    <row r="340" spans="1:16">
      <c r="A340" s="53"/>
      <c r="B340" s="3"/>
      <c r="C340" s="9"/>
      <c r="D340" s="3"/>
      <c r="E340" s="3"/>
      <c r="F340" s="53"/>
      <c r="G340" s="53"/>
      <c r="H340" s="53"/>
      <c r="I340" s="54"/>
      <c r="J340" s="53"/>
      <c r="K340" s="53"/>
      <c r="L340" s="53"/>
      <c r="M340" s="53"/>
      <c r="N340" s="54"/>
      <c r="O340" s="53"/>
      <c r="P340" s="53"/>
    </row>
    <row r="341" spans="1:16">
      <c r="A341" s="53"/>
      <c r="B341" s="3"/>
      <c r="C341" s="9"/>
      <c r="D341" s="3"/>
      <c r="E341" s="3"/>
      <c r="F341" s="53"/>
      <c r="G341" s="53"/>
      <c r="H341" s="53"/>
      <c r="I341" s="54"/>
      <c r="J341" s="53"/>
      <c r="K341" s="53"/>
      <c r="L341" s="53"/>
      <c r="M341" s="53"/>
      <c r="N341" s="54"/>
      <c r="O341" s="53"/>
      <c r="P341" s="53"/>
    </row>
    <row r="342" spans="1:16">
      <c r="A342" s="53"/>
      <c r="B342" s="3"/>
      <c r="C342" s="9"/>
      <c r="D342" s="3"/>
      <c r="E342" s="3"/>
      <c r="F342" s="53"/>
      <c r="G342" s="53"/>
      <c r="H342" s="53"/>
      <c r="I342" s="54"/>
      <c r="J342" s="53"/>
      <c r="K342" s="53"/>
      <c r="L342" s="53"/>
      <c r="M342" s="53"/>
      <c r="N342" s="54"/>
      <c r="O342" s="53"/>
      <c r="P342" s="53"/>
    </row>
    <row r="343" spans="1:16">
      <c r="A343" s="53"/>
      <c r="B343" s="3"/>
      <c r="C343" s="9"/>
      <c r="D343" s="3"/>
      <c r="E343" s="3"/>
      <c r="F343" s="53"/>
      <c r="G343" s="53"/>
      <c r="H343" s="53"/>
      <c r="I343" s="54"/>
      <c r="J343" s="53"/>
      <c r="K343" s="53"/>
      <c r="L343" s="53"/>
      <c r="M343" s="53"/>
      <c r="N343" s="54"/>
      <c r="O343" s="53"/>
      <c r="P343" s="53"/>
    </row>
    <row r="344" spans="1:16">
      <c r="A344" s="53"/>
      <c r="B344" s="3"/>
      <c r="C344" s="9"/>
      <c r="D344" s="3"/>
      <c r="E344" s="3"/>
      <c r="F344" s="53"/>
      <c r="G344" s="53"/>
      <c r="H344" s="53"/>
      <c r="I344" s="54"/>
      <c r="J344" s="53"/>
      <c r="K344" s="53"/>
      <c r="L344" s="53"/>
      <c r="M344" s="53"/>
      <c r="N344" s="54"/>
      <c r="O344" s="53"/>
      <c r="P344" s="53"/>
    </row>
    <row r="345" spans="1:16">
      <c r="A345" s="53"/>
      <c r="B345" s="3"/>
      <c r="C345" s="9"/>
      <c r="D345" s="3"/>
      <c r="E345" s="3"/>
      <c r="F345" s="53"/>
      <c r="G345" s="53"/>
      <c r="H345" s="53"/>
      <c r="I345" s="54"/>
      <c r="J345" s="53"/>
      <c r="K345" s="53"/>
      <c r="L345" s="53"/>
      <c r="M345" s="53"/>
      <c r="N345" s="54"/>
      <c r="O345" s="53"/>
      <c r="P345" s="53"/>
    </row>
    <row r="346" spans="1:16">
      <c r="A346" s="53"/>
      <c r="B346" s="3"/>
      <c r="C346" s="9"/>
      <c r="D346" s="3"/>
      <c r="E346" s="3"/>
      <c r="F346" s="53"/>
      <c r="G346" s="53"/>
      <c r="H346" s="53"/>
      <c r="I346" s="54"/>
      <c r="J346" s="53"/>
      <c r="K346" s="53"/>
      <c r="L346" s="53"/>
      <c r="M346" s="53"/>
      <c r="N346" s="54"/>
      <c r="O346" s="53"/>
      <c r="P346" s="53"/>
    </row>
    <row r="347" spans="1:16">
      <c r="A347" s="53"/>
      <c r="B347" s="3"/>
      <c r="C347" s="9"/>
      <c r="D347" s="3"/>
      <c r="E347" s="3"/>
      <c r="F347" s="53"/>
      <c r="G347" s="53"/>
      <c r="H347" s="53"/>
      <c r="I347" s="54"/>
      <c r="J347" s="53"/>
      <c r="K347" s="53"/>
      <c r="L347" s="53"/>
      <c r="M347" s="53"/>
      <c r="N347" s="54"/>
      <c r="O347" s="53"/>
      <c r="P347" s="53"/>
    </row>
    <row r="348" spans="1:16">
      <c r="A348" s="53"/>
      <c r="B348" s="3"/>
      <c r="C348" s="9"/>
      <c r="D348" s="3"/>
      <c r="E348" s="3"/>
      <c r="F348" s="53"/>
      <c r="G348" s="53"/>
      <c r="H348" s="53"/>
      <c r="I348" s="54"/>
      <c r="J348" s="53"/>
      <c r="K348" s="53"/>
      <c r="L348" s="53"/>
      <c r="M348" s="53"/>
      <c r="N348" s="54"/>
      <c r="O348" s="53"/>
      <c r="P348" s="53"/>
    </row>
    <row r="349" spans="1:16">
      <c r="A349" s="53"/>
      <c r="B349" s="3"/>
      <c r="C349" s="9"/>
      <c r="D349" s="3"/>
      <c r="E349" s="3"/>
      <c r="F349" s="53"/>
      <c r="G349" s="53"/>
      <c r="H349" s="53"/>
      <c r="I349" s="54"/>
      <c r="J349" s="53"/>
      <c r="K349" s="53"/>
      <c r="L349" s="53"/>
      <c r="M349" s="53"/>
      <c r="N349" s="54"/>
      <c r="O349" s="53"/>
      <c r="P349" s="53"/>
    </row>
    <row r="350" spans="1:16">
      <c r="A350" s="53"/>
      <c r="B350" s="3"/>
      <c r="C350" s="9"/>
      <c r="D350" s="3"/>
      <c r="E350" s="3"/>
      <c r="F350" s="53"/>
      <c r="G350" s="53"/>
      <c r="H350" s="53"/>
      <c r="I350" s="54"/>
      <c r="J350" s="53"/>
      <c r="K350" s="53"/>
      <c r="L350" s="53"/>
      <c r="M350" s="53"/>
      <c r="N350" s="54"/>
      <c r="O350" s="53"/>
      <c r="P350" s="53"/>
    </row>
    <row r="351" spans="1:16">
      <c r="A351" s="53"/>
      <c r="B351" s="3"/>
      <c r="C351" s="9"/>
      <c r="D351" s="3"/>
      <c r="E351" s="3"/>
      <c r="F351" s="53"/>
      <c r="G351" s="53"/>
      <c r="H351" s="53"/>
      <c r="I351" s="54"/>
      <c r="J351" s="53"/>
      <c r="K351" s="53"/>
      <c r="L351" s="53"/>
      <c r="M351" s="53"/>
      <c r="N351" s="54"/>
      <c r="O351" s="53"/>
      <c r="P351" s="53"/>
    </row>
    <row r="352" spans="1:16">
      <c r="A352" s="53"/>
      <c r="B352" s="3"/>
      <c r="C352" s="9"/>
      <c r="D352" s="3"/>
      <c r="E352" s="3"/>
      <c r="F352" s="53"/>
      <c r="G352" s="53"/>
      <c r="H352" s="53"/>
      <c r="I352" s="54"/>
      <c r="J352" s="53"/>
      <c r="K352" s="53"/>
      <c r="L352" s="53"/>
      <c r="M352" s="53"/>
      <c r="N352" s="54"/>
      <c r="O352" s="53"/>
      <c r="P352" s="53"/>
    </row>
    <row r="353" spans="1:16">
      <c r="A353" s="53"/>
      <c r="B353" s="3"/>
      <c r="C353" s="9"/>
      <c r="D353" s="3"/>
      <c r="E353" s="3"/>
      <c r="F353" s="53"/>
      <c r="G353" s="53"/>
      <c r="H353" s="53"/>
      <c r="I353" s="54"/>
      <c r="J353" s="53"/>
      <c r="K353" s="53"/>
      <c r="L353" s="53"/>
      <c r="M353" s="53"/>
      <c r="N353" s="54"/>
      <c r="O353" s="53"/>
      <c r="P353" s="53"/>
    </row>
    <row r="354" spans="1:16">
      <c r="A354" s="53"/>
      <c r="B354" s="3"/>
      <c r="C354" s="9"/>
      <c r="D354" s="3"/>
      <c r="E354" s="3"/>
      <c r="F354" s="53"/>
      <c r="G354" s="53"/>
      <c r="H354" s="53"/>
      <c r="I354" s="54"/>
      <c r="J354" s="53"/>
      <c r="K354" s="53"/>
      <c r="L354" s="53"/>
      <c r="M354" s="53"/>
      <c r="N354" s="54"/>
      <c r="O354" s="53"/>
      <c r="P354" s="53"/>
    </row>
    <row r="355" spans="1:16">
      <c r="A355" s="53"/>
      <c r="B355" s="3"/>
      <c r="C355" s="9"/>
      <c r="D355" s="3"/>
      <c r="E355" s="3"/>
      <c r="F355" s="53"/>
      <c r="G355" s="53"/>
      <c r="H355" s="53"/>
      <c r="I355" s="54"/>
      <c r="J355" s="53"/>
      <c r="K355" s="53"/>
      <c r="L355" s="53"/>
      <c r="M355" s="53"/>
      <c r="N355" s="54"/>
      <c r="O355" s="53"/>
      <c r="P355" s="53"/>
    </row>
    <row r="356" spans="1:16">
      <c r="A356" s="53"/>
      <c r="B356" s="3"/>
      <c r="C356" s="9"/>
      <c r="D356" s="3"/>
      <c r="E356" s="3"/>
      <c r="F356" s="53"/>
      <c r="G356" s="53"/>
      <c r="H356" s="53"/>
      <c r="I356" s="54"/>
      <c r="J356" s="53"/>
      <c r="K356" s="53"/>
      <c r="L356" s="53"/>
      <c r="M356" s="53"/>
      <c r="N356" s="54"/>
      <c r="O356" s="53"/>
      <c r="P356" s="53"/>
    </row>
    <row r="357" spans="1:16">
      <c r="A357" s="53"/>
      <c r="B357" s="3"/>
      <c r="C357" s="9"/>
      <c r="D357" s="3"/>
      <c r="E357" s="3"/>
      <c r="F357" s="53"/>
      <c r="G357" s="53"/>
      <c r="H357" s="53"/>
      <c r="I357" s="54"/>
      <c r="J357" s="53"/>
      <c r="K357" s="53"/>
      <c r="L357" s="53"/>
      <c r="M357" s="53"/>
      <c r="N357" s="54"/>
      <c r="O357" s="53"/>
      <c r="P357" s="53"/>
    </row>
    <row r="358" spans="1:16">
      <c r="A358" s="53"/>
      <c r="B358" s="3"/>
      <c r="C358" s="9"/>
      <c r="D358" s="3"/>
      <c r="E358" s="3"/>
      <c r="F358" s="53"/>
      <c r="G358" s="53"/>
      <c r="H358" s="53"/>
      <c r="I358" s="54"/>
      <c r="J358" s="53"/>
      <c r="K358" s="53"/>
      <c r="L358" s="53"/>
      <c r="M358" s="53"/>
      <c r="N358" s="54"/>
      <c r="O358" s="53"/>
      <c r="P358" s="53"/>
    </row>
    <row r="359" spans="1:16">
      <c r="A359" s="53"/>
      <c r="B359" s="3"/>
      <c r="C359" s="9"/>
      <c r="D359" s="3"/>
      <c r="E359" s="3"/>
      <c r="F359" s="53"/>
      <c r="G359" s="53"/>
      <c r="H359" s="53"/>
      <c r="I359" s="54"/>
      <c r="J359" s="53"/>
      <c r="K359" s="53"/>
      <c r="L359" s="53"/>
      <c r="M359" s="53"/>
      <c r="N359" s="54"/>
      <c r="O359" s="53"/>
      <c r="P359" s="53"/>
    </row>
    <row r="360" spans="1:16">
      <c r="A360" s="53"/>
      <c r="B360" s="3"/>
      <c r="C360" s="9"/>
      <c r="D360" s="3"/>
      <c r="E360" s="3"/>
      <c r="F360" s="53"/>
      <c r="G360" s="53"/>
      <c r="H360" s="53"/>
      <c r="I360" s="54"/>
      <c r="J360" s="53"/>
      <c r="K360" s="53"/>
      <c r="L360" s="53"/>
      <c r="M360" s="53"/>
      <c r="N360" s="54"/>
      <c r="O360" s="53"/>
      <c r="P360" s="53"/>
    </row>
    <row r="361" spans="1:16">
      <c r="A361" s="53"/>
      <c r="B361" s="3"/>
      <c r="C361" s="9"/>
      <c r="D361" s="3"/>
      <c r="E361" s="3"/>
      <c r="F361" s="53"/>
      <c r="G361" s="53"/>
      <c r="H361" s="53"/>
      <c r="I361" s="54"/>
      <c r="J361" s="53"/>
      <c r="K361" s="53"/>
      <c r="L361" s="53"/>
      <c r="M361" s="53"/>
      <c r="N361" s="54"/>
      <c r="O361" s="53"/>
      <c r="P361" s="53"/>
    </row>
    <row r="362" spans="1:16">
      <c r="A362" s="53"/>
      <c r="B362" s="3"/>
      <c r="C362" s="9"/>
      <c r="D362" s="3"/>
      <c r="E362" s="3"/>
      <c r="F362" s="53"/>
      <c r="G362" s="53"/>
      <c r="H362" s="53"/>
      <c r="I362" s="54"/>
      <c r="J362" s="53"/>
      <c r="K362" s="53"/>
      <c r="L362" s="53"/>
      <c r="M362" s="53"/>
      <c r="N362" s="54"/>
      <c r="O362" s="53"/>
      <c r="P362" s="53"/>
    </row>
    <row r="363" spans="1:16">
      <c r="A363" s="53"/>
      <c r="B363" s="3"/>
      <c r="C363" s="9"/>
      <c r="D363" s="3"/>
      <c r="E363" s="3"/>
      <c r="F363" s="53"/>
      <c r="G363" s="53"/>
      <c r="H363" s="53"/>
      <c r="I363" s="54"/>
      <c r="J363" s="53"/>
      <c r="K363" s="53"/>
      <c r="L363" s="53"/>
      <c r="M363" s="53"/>
      <c r="N363" s="54"/>
      <c r="O363" s="53"/>
      <c r="P363" s="53"/>
    </row>
    <row r="364" spans="1:16">
      <c r="A364" s="53"/>
      <c r="B364" s="3"/>
      <c r="C364" s="9"/>
      <c r="D364" s="3"/>
      <c r="E364" s="3"/>
      <c r="F364" s="53"/>
      <c r="G364" s="53"/>
      <c r="H364" s="53"/>
      <c r="I364" s="54"/>
      <c r="J364" s="53"/>
      <c r="K364" s="53"/>
      <c r="L364" s="53"/>
      <c r="M364" s="53"/>
      <c r="N364" s="54"/>
      <c r="O364" s="53"/>
      <c r="P364" s="53"/>
    </row>
    <row r="365" spans="1:16">
      <c r="A365" s="53"/>
      <c r="B365" s="3"/>
      <c r="C365" s="9"/>
      <c r="D365" s="3"/>
      <c r="E365" s="3"/>
      <c r="F365" s="53"/>
      <c r="G365" s="53"/>
      <c r="H365" s="53"/>
      <c r="I365" s="54"/>
      <c r="J365" s="53"/>
      <c r="K365" s="53"/>
      <c r="L365" s="53"/>
      <c r="M365" s="53"/>
      <c r="N365" s="54"/>
      <c r="O365" s="53"/>
      <c r="P365" s="53"/>
    </row>
    <row r="366" spans="1:16">
      <c r="A366" s="53"/>
      <c r="B366" s="3"/>
      <c r="C366" s="9"/>
      <c r="D366" s="3"/>
      <c r="E366" s="3"/>
      <c r="F366" s="53"/>
      <c r="G366" s="53"/>
      <c r="H366" s="53"/>
      <c r="I366" s="54"/>
      <c r="J366" s="53"/>
      <c r="K366" s="53"/>
      <c r="L366" s="53"/>
      <c r="M366" s="53"/>
      <c r="N366" s="54"/>
      <c r="O366" s="53"/>
      <c r="P366" s="53"/>
    </row>
    <row r="367" spans="1:16">
      <c r="A367" s="53"/>
      <c r="B367" s="3"/>
      <c r="C367" s="9"/>
      <c r="D367" s="3"/>
      <c r="E367" s="3"/>
      <c r="F367" s="53"/>
      <c r="G367" s="53"/>
      <c r="H367" s="53"/>
      <c r="I367" s="54"/>
      <c r="J367" s="53"/>
      <c r="K367" s="53"/>
      <c r="L367" s="53"/>
      <c r="M367" s="53"/>
      <c r="N367" s="54"/>
      <c r="O367" s="53"/>
      <c r="P367" s="53"/>
    </row>
    <row r="368" spans="1:16">
      <c r="A368" s="53"/>
      <c r="B368" s="3"/>
      <c r="C368" s="9"/>
      <c r="D368" s="3"/>
      <c r="E368" s="3"/>
      <c r="F368" s="53"/>
      <c r="G368" s="53"/>
      <c r="H368" s="53"/>
      <c r="I368" s="54"/>
      <c r="J368" s="53"/>
      <c r="K368" s="53"/>
      <c r="L368" s="53"/>
      <c r="M368" s="53"/>
      <c r="N368" s="54"/>
      <c r="O368" s="53"/>
      <c r="P368" s="53"/>
    </row>
    <row r="369" spans="1:16">
      <c r="A369" s="53"/>
      <c r="B369" s="3"/>
      <c r="C369" s="9"/>
      <c r="D369" s="3"/>
      <c r="E369" s="3"/>
      <c r="F369" s="53"/>
      <c r="G369" s="53"/>
      <c r="H369" s="53"/>
      <c r="I369" s="54"/>
      <c r="J369" s="53"/>
      <c r="K369" s="53"/>
      <c r="L369" s="53"/>
      <c r="M369" s="53"/>
      <c r="N369" s="54"/>
      <c r="O369" s="53"/>
      <c r="P369" s="53"/>
    </row>
    <row r="370" spans="1:16">
      <c r="A370" s="53"/>
      <c r="B370" s="3"/>
      <c r="C370" s="9"/>
      <c r="D370" s="3"/>
      <c r="E370" s="3"/>
      <c r="F370" s="53"/>
      <c r="G370" s="53"/>
      <c r="H370" s="53"/>
      <c r="I370" s="54"/>
      <c r="J370" s="53"/>
      <c r="K370" s="53"/>
      <c r="L370" s="53"/>
      <c r="M370" s="53"/>
      <c r="N370" s="54"/>
      <c r="O370" s="53"/>
      <c r="P370" s="53"/>
    </row>
    <row r="371" spans="1:16">
      <c r="A371" s="53"/>
      <c r="B371" s="3"/>
      <c r="C371" s="9"/>
      <c r="D371" s="3"/>
      <c r="E371" s="3"/>
      <c r="F371" s="53"/>
      <c r="G371" s="53"/>
      <c r="H371" s="53"/>
      <c r="I371" s="54"/>
      <c r="J371" s="53"/>
      <c r="K371" s="53"/>
      <c r="L371" s="53"/>
      <c r="M371" s="53"/>
      <c r="N371" s="54"/>
      <c r="O371" s="53"/>
      <c r="P371" s="53"/>
    </row>
    <row r="372" spans="1:16">
      <c r="A372" s="53"/>
      <c r="B372" s="3"/>
      <c r="C372" s="9"/>
      <c r="D372" s="3"/>
      <c r="E372" s="3"/>
      <c r="F372" s="53"/>
      <c r="G372" s="53"/>
      <c r="H372" s="53"/>
      <c r="I372" s="54"/>
      <c r="J372" s="53"/>
      <c r="K372" s="53"/>
      <c r="L372" s="53"/>
      <c r="M372" s="53"/>
      <c r="N372" s="54"/>
      <c r="O372" s="53"/>
      <c r="P372" s="53"/>
    </row>
    <row r="373" spans="1:16">
      <c r="A373" s="53"/>
      <c r="B373" s="3"/>
      <c r="C373" s="9"/>
      <c r="D373" s="3"/>
      <c r="E373" s="3"/>
      <c r="F373" s="53"/>
      <c r="G373" s="53"/>
      <c r="H373" s="53"/>
      <c r="I373" s="54"/>
      <c r="J373" s="53"/>
      <c r="K373" s="53"/>
      <c r="L373" s="53"/>
      <c r="M373" s="53"/>
      <c r="N373" s="54"/>
      <c r="O373" s="53"/>
      <c r="P373" s="53"/>
    </row>
    <row r="374" spans="1:16">
      <c r="A374" s="53"/>
      <c r="B374" s="3"/>
      <c r="C374" s="9"/>
      <c r="D374" s="3"/>
      <c r="E374" s="3"/>
      <c r="F374" s="53"/>
      <c r="G374" s="53"/>
      <c r="H374" s="53"/>
      <c r="I374" s="54"/>
      <c r="J374" s="53"/>
      <c r="K374" s="53"/>
      <c r="L374" s="53"/>
      <c r="M374" s="53"/>
      <c r="N374" s="54"/>
      <c r="O374" s="53"/>
      <c r="P374" s="53"/>
    </row>
    <row r="375" spans="1:16">
      <c r="A375" s="53"/>
      <c r="B375" s="3"/>
      <c r="C375" s="9"/>
      <c r="D375" s="3"/>
      <c r="E375" s="3"/>
      <c r="F375" s="53"/>
      <c r="G375" s="53"/>
      <c r="H375" s="53"/>
      <c r="I375" s="54"/>
      <c r="J375" s="53"/>
      <c r="K375" s="53"/>
      <c r="L375" s="53"/>
      <c r="M375" s="53"/>
      <c r="N375" s="54"/>
      <c r="O375" s="53"/>
      <c r="P375" s="53"/>
    </row>
    <row r="376" spans="1:16">
      <c r="A376" s="53"/>
      <c r="B376" s="3"/>
      <c r="C376" s="9"/>
      <c r="D376" s="3"/>
      <c r="E376" s="3"/>
      <c r="F376" s="53"/>
      <c r="G376" s="53"/>
      <c r="H376" s="53"/>
      <c r="I376" s="54"/>
      <c r="J376" s="53"/>
      <c r="K376" s="53"/>
      <c r="L376" s="53"/>
      <c r="M376" s="53"/>
      <c r="N376" s="54"/>
      <c r="O376" s="53"/>
      <c r="P376" s="53"/>
    </row>
    <row r="377" spans="1:16">
      <c r="A377" s="53"/>
      <c r="B377" s="3"/>
      <c r="C377" s="9"/>
      <c r="D377" s="3"/>
      <c r="E377" s="3"/>
      <c r="F377" s="53"/>
      <c r="G377" s="53"/>
      <c r="H377" s="53"/>
      <c r="I377" s="54"/>
      <c r="J377" s="53"/>
      <c r="K377" s="53"/>
      <c r="L377" s="53"/>
      <c r="M377" s="53"/>
      <c r="N377" s="54"/>
      <c r="O377" s="53"/>
      <c r="P377" s="53"/>
    </row>
    <row r="378" spans="1:16">
      <c r="A378" s="53"/>
      <c r="B378" s="3"/>
      <c r="C378" s="9"/>
      <c r="D378" s="3"/>
      <c r="E378" s="3"/>
      <c r="F378" s="53"/>
      <c r="G378" s="53"/>
      <c r="H378" s="53"/>
      <c r="I378" s="54"/>
      <c r="J378" s="53"/>
      <c r="K378" s="53"/>
      <c r="L378" s="53"/>
      <c r="M378" s="53"/>
      <c r="N378" s="54"/>
      <c r="O378" s="53"/>
      <c r="P378" s="53"/>
    </row>
    <row r="379" spans="1:16">
      <c r="A379" s="53"/>
      <c r="B379" s="3"/>
      <c r="C379" s="9"/>
      <c r="D379" s="3"/>
      <c r="E379" s="3"/>
      <c r="F379" s="53"/>
      <c r="G379" s="53"/>
      <c r="H379" s="53"/>
      <c r="I379" s="54"/>
      <c r="J379" s="53"/>
      <c r="K379" s="53"/>
      <c r="L379" s="53"/>
      <c r="M379" s="53"/>
      <c r="N379" s="54"/>
      <c r="O379" s="53"/>
      <c r="P379" s="53"/>
    </row>
    <row r="380" spans="1:16">
      <c r="A380" s="53"/>
      <c r="B380" s="3"/>
      <c r="C380" s="9"/>
      <c r="D380" s="3"/>
      <c r="E380" s="3"/>
      <c r="F380" s="53"/>
      <c r="G380" s="53"/>
      <c r="H380" s="53"/>
      <c r="I380" s="54"/>
      <c r="J380" s="53"/>
      <c r="K380" s="53"/>
      <c r="L380" s="53"/>
      <c r="M380" s="53"/>
      <c r="N380" s="54"/>
      <c r="O380" s="53"/>
      <c r="P380" s="53"/>
    </row>
    <row r="381" spans="1:16">
      <c r="A381" s="53"/>
      <c r="B381" s="3"/>
      <c r="C381" s="9"/>
      <c r="D381" s="3"/>
      <c r="E381" s="3"/>
      <c r="F381" s="53"/>
      <c r="G381" s="53"/>
      <c r="H381" s="53"/>
      <c r="I381" s="54"/>
      <c r="J381" s="53"/>
      <c r="K381" s="53"/>
      <c r="L381" s="53"/>
      <c r="M381" s="53"/>
      <c r="N381" s="54"/>
      <c r="O381" s="53"/>
      <c r="P381" s="53"/>
    </row>
    <row r="382" spans="1:16">
      <c r="A382" s="53"/>
      <c r="B382" s="3"/>
      <c r="C382" s="9"/>
      <c r="D382" s="3"/>
      <c r="E382" s="3"/>
      <c r="F382" s="53"/>
      <c r="G382" s="53"/>
      <c r="H382" s="53"/>
      <c r="I382" s="54"/>
      <c r="J382" s="53"/>
      <c r="K382" s="53"/>
      <c r="L382" s="53"/>
      <c r="M382" s="53"/>
      <c r="N382" s="54"/>
      <c r="O382" s="53"/>
      <c r="P382" s="53"/>
    </row>
    <row r="383" spans="1:16">
      <c r="A383" s="53"/>
      <c r="B383" s="3"/>
      <c r="C383" s="9"/>
      <c r="D383" s="3"/>
      <c r="E383" s="3"/>
      <c r="F383" s="53"/>
      <c r="G383" s="53"/>
      <c r="H383" s="53"/>
      <c r="I383" s="54"/>
      <c r="J383" s="53"/>
      <c r="K383" s="53"/>
      <c r="L383" s="53"/>
      <c r="M383" s="53"/>
      <c r="N383" s="54"/>
      <c r="O383" s="53"/>
      <c r="P383" s="53"/>
    </row>
    <row r="384" spans="1:16">
      <c r="A384" s="53"/>
      <c r="B384" s="3"/>
      <c r="C384" s="9"/>
      <c r="D384" s="3"/>
      <c r="E384" s="3"/>
      <c r="F384" s="53"/>
      <c r="G384" s="53"/>
      <c r="H384" s="53"/>
      <c r="I384" s="54"/>
      <c r="J384" s="53"/>
      <c r="K384" s="53"/>
      <c r="L384" s="53"/>
      <c r="M384" s="53"/>
      <c r="N384" s="54"/>
      <c r="O384" s="53"/>
      <c r="P384" s="53"/>
    </row>
    <row r="385" spans="1:16">
      <c r="A385" s="53"/>
      <c r="B385" s="3"/>
      <c r="C385" s="9"/>
      <c r="D385" s="3"/>
      <c r="E385" s="3"/>
      <c r="F385" s="53"/>
      <c r="G385" s="53"/>
      <c r="H385" s="53"/>
      <c r="I385" s="54"/>
      <c r="J385" s="53"/>
      <c r="K385" s="53"/>
      <c r="L385" s="53"/>
      <c r="M385" s="53"/>
      <c r="N385" s="54"/>
      <c r="O385" s="53"/>
      <c r="P385" s="53"/>
    </row>
    <row r="386" spans="1:16">
      <c r="A386" s="53"/>
      <c r="B386" s="3"/>
      <c r="C386" s="9"/>
      <c r="D386" s="3"/>
      <c r="E386" s="3"/>
      <c r="F386" s="53"/>
      <c r="G386" s="53"/>
      <c r="H386" s="53"/>
      <c r="I386" s="54"/>
      <c r="J386" s="53"/>
      <c r="K386" s="53"/>
      <c r="L386" s="53"/>
      <c r="M386" s="53"/>
      <c r="N386" s="54"/>
      <c r="O386" s="53"/>
      <c r="P386" s="53"/>
    </row>
    <row r="387" spans="1:16">
      <c r="A387" s="53"/>
      <c r="B387" s="3"/>
      <c r="C387" s="9"/>
      <c r="D387" s="3"/>
      <c r="E387" s="3"/>
      <c r="F387" s="53"/>
      <c r="G387" s="53"/>
      <c r="H387" s="53"/>
      <c r="I387" s="54"/>
      <c r="J387" s="53"/>
      <c r="K387" s="53"/>
      <c r="L387" s="53"/>
      <c r="M387" s="53"/>
      <c r="N387" s="54"/>
      <c r="O387" s="53"/>
      <c r="P387" s="53"/>
    </row>
    <row r="388" spans="1:16">
      <c r="A388" s="53"/>
      <c r="B388" s="3"/>
      <c r="C388" s="9"/>
      <c r="D388" s="3"/>
      <c r="E388" s="3"/>
      <c r="F388" s="53"/>
      <c r="G388" s="53"/>
      <c r="H388" s="53"/>
      <c r="I388" s="54"/>
      <c r="J388" s="53"/>
      <c r="K388" s="53"/>
      <c r="L388" s="53"/>
      <c r="M388" s="53"/>
      <c r="N388" s="54"/>
      <c r="O388" s="53"/>
      <c r="P388" s="53"/>
    </row>
    <row r="389" spans="1:16">
      <c r="A389" s="53"/>
      <c r="B389" s="3"/>
      <c r="C389" s="9"/>
      <c r="D389" s="3"/>
      <c r="E389" s="3"/>
      <c r="F389" s="53"/>
      <c r="G389" s="53"/>
      <c r="H389" s="53"/>
      <c r="I389" s="54"/>
      <c r="J389" s="53"/>
      <c r="K389" s="53"/>
      <c r="L389" s="53"/>
      <c r="M389" s="53"/>
      <c r="N389" s="54"/>
      <c r="O389" s="53"/>
      <c r="P389" s="53"/>
    </row>
    <row r="390" spans="1:16">
      <c r="A390" s="53"/>
      <c r="B390" s="3"/>
      <c r="C390" s="9"/>
      <c r="D390" s="3"/>
      <c r="E390" s="3"/>
      <c r="F390" s="53"/>
      <c r="G390" s="53"/>
      <c r="H390" s="53"/>
      <c r="I390" s="54"/>
      <c r="J390" s="53"/>
      <c r="K390" s="53"/>
      <c r="L390" s="53"/>
      <c r="M390" s="53"/>
      <c r="N390" s="54"/>
      <c r="O390" s="53"/>
      <c r="P390" s="53"/>
    </row>
    <row r="391" spans="1:16">
      <c r="A391" s="53"/>
      <c r="B391" s="3"/>
      <c r="C391" s="9"/>
      <c r="D391" s="3"/>
      <c r="E391" s="3"/>
      <c r="F391" s="53"/>
      <c r="G391" s="53"/>
      <c r="H391" s="53"/>
      <c r="I391" s="54"/>
      <c r="J391" s="53"/>
      <c r="K391" s="53"/>
      <c r="L391" s="53"/>
      <c r="M391" s="53"/>
      <c r="N391" s="54"/>
      <c r="O391" s="53"/>
      <c r="P391" s="53"/>
    </row>
    <row r="392" spans="1:16">
      <c r="A392" s="53"/>
      <c r="B392" s="3"/>
      <c r="C392" s="9"/>
      <c r="D392" s="3"/>
      <c r="E392" s="3"/>
      <c r="F392" s="53"/>
      <c r="G392" s="53"/>
      <c r="H392" s="53"/>
      <c r="I392" s="54"/>
      <c r="J392" s="53"/>
      <c r="K392" s="53"/>
      <c r="L392" s="53"/>
      <c r="M392" s="53"/>
      <c r="N392" s="54"/>
      <c r="O392" s="53"/>
      <c r="P392" s="53"/>
    </row>
    <row r="393" spans="1:16">
      <c r="A393" s="53"/>
      <c r="B393" s="3"/>
      <c r="C393" s="9"/>
      <c r="D393" s="3"/>
      <c r="E393" s="3"/>
      <c r="F393" s="53"/>
      <c r="G393" s="53"/>
      <c r="H393" s="53"/>
      <c r="I393" s="54"/>
      <c r="J393" s="53"/>
      <c r="K393" s="53"/>
      <c r="L393" s="53"/>
      <c r="M393" s="53"/>
      <c r="N393" s="54"/>
      <c r="O393" s="53"/>
      <c r="P393" s="53"/>
    </row>
    <row r="394" spans="1:16">
      <c r="A394" s="53"/>
      <c r="B394" s="3"/>
      <c r="C394" s="9"/>
      <c r="D394" s="3"/>
      <c r="E394" s="3"/>
      <c r="F394" s="53"/>
      <c r="G394" s="53"/>
      <c r="H394" s="53"/>
      <c r="I394" s="54"/>
      <c r="J394" s="53"/>
      <c r="K394" s="53"/>
      <c r="L394" s="53"/>
      <c r="M394" s="53"/>
      <c r="N394" s="54"/>
      <c r="O394" s="53"/>
      <c r="P394" s="53"/>
    </row>
    <row r="395" spans="1:16">
      <c r="A395" s="53"/>
      <c r="B395" s="3"/>
      <c r="C395" s="9"/>
      <c r="D395" s="3"/>
      <c r="E395" s="3"/>
      <c r="F395" s="53"/>
      <c r="G395" s="53"/>
      <c r="H395" s="53"/>
      <c r="I395" s="54"/>
      <c r="J395" s="53"/>
      <c r="K395" s="53"/>
      <c r="L395" s="53"/>
      <c r="M395" s="53"/>
      <c r="N395" s="54"/>
      <c r="O395" s="53"/>
      <c r="P395" s="53"/>
    </row>
    <row r="396" spans="1:16">
      <c r="A396" s="53"/>
      <c r="B396" s="3"/>
      <c r="C396" s="9"/>
      <c r="D396" s="3"/>
      <c r="E396" s="3"/>
      <c r="F396" s="53"/>
      <c r="G396" s="53"/>
      <c r="H396" s="53"/>
      <c r="I396" s="54"/>
      <c r="J396" s="53"/>
      <c r="K396" s="53"/>
      <c r="L396" s="53"/>
      <c r="M396" s="53"/>
      <c r="N396" s="54"/>
      <c r="O396" s="53"/>
      <c r="P396" s="53"/>
    </row>
    <row r="397" spans="1:16">
      <c r="A397" s="53"/>
      <c r="B397" s="3"/>
      <c r="C397" s="9"/>
      <c r="D397" s="3"/>
      <c r="E397" s="3"/>
      <c r="F397" s="53"/>
      <c r="G397" s="53"/>
      <c r="H397" s="53"/>
      <c r="I397" s="54"/>
      <c r="J397" s="53"/>
      <c r="K397" s="53"/>
      <c r="L397" s="53"/>
      <c r="M397" s="53"/>
      <c r="N397" s="54"/>
      <c r="O397" s="53"/>
      <c r="P397" s="53"/>
    </row>
    <row r="398" spans="1:16">
      <c r="A398" s="53"/>
      <c r="B398" s="3"/>
      <c r="C398" s="9"/>
      <c r="D398" s="3"/>
      <c r="E398" s="3"/>
      <c r="F398" s="53"/>
      <c r="G398" s="53"/>
      <c r="H398" s="53"/>
      <c r="I398" s="54"/>
      <c r="J398" s="53"/>
      <c r="K398" s="53"/>
      <c r="L398" s="53"/>
      <c r="M398" s="53"/>
      <c r="N398" s="54"/>
      <c r="O398" s="53"/>
      <c r="P398" s="53"/>
    </row>
    <row r="399" spans="1:16">
      <c r="A399" s="53"/>
      <c r="B399" s="3"/>
      <c r="C399" s="9"/>
      <c r="D399" s="3"/>
      <c r="E399" s="3"/>
      <c r="F399" s="53"/>
      <c r="G399" s="53"/>
      <c r="H399" s="53"/>
      <c r="I399" s="54"/>
      <c r="J399" s="53"/>
      <c r="K399" s="53"/>
      <c r="L399" s="53"/>
      <c r="M399" s="53"/>
      <c r="N399" s="54"/>
      <c r="O399" s="53"/>
      <c r="P399" s="53"/>
    </row>
    <row r="400" spans="1:16">
      <c r="A400" s="53"/>
      <c r="B400" s="3"/>
      <c r="C400" s="9"/>
      <c r="D400" s="3"/>
      <c r="E400" s="3"/>
      <c r="F400" s="53"/>
      <c r="G400" s="53"/>
      <c r="H400" s="53"/>
      <c r="I400" s="54"/>
      <c r="J400" s="53"/>
      <c r="K400" s="53"/>
      <c r="L400" s="53"/>
      <c r="M400" s="53"/>
      <c r="N400" s="54"/>
      <c r="O400" s="53"/>
      <c r="P400" s="53"/>
    </row>
    <row r="401" spans="1:16">
      <c r="A401" s="53"/>
      <c r="B401" s="3"/>
      <c r="C401" s="9"/>
      <c r="D401" s="3"/>
      <c r="E401" s="3"/>
      <c r="F401" s="53"/>
      <c r="G401" s="53"/>
      <c r="H401" s="53"/>
      <c r="I401" s="54"/>
      <c r="J401" s="53"/>
      <c r="K401" s="53"/>
      <c r="L401" s="53"/>
      <c r="M401" s="53"/>
      <c r="N401" s="54"/>
      <c r="O401" s="53"/>
      <c r="P401" s="53"/>
    </row>
    <row r="402" spans="1:16">
      <c r="A402" s="53"/>
      <c r="B402" s="3"/>
      <c r="C402" s="9"/>
      <c r="D402" s="3"/>
      <c r="E402" s="3"/>
      <c r="F402" s="53"/>
      <c r="G402" s="53"/>
      <c r="H402" s="53"/>
      <c r="I402" s="54"/>
      <c r="J402" s="53"/>
      <c r="K402" s="53"/>
      <c r="L402" s="53"/>
      <c r="M402" s="53"/>
      <c r="N402" s="54"/>
      <c r="O402" s="53"/>
      <c r="P402" s="53"/>
    </row>
    <row r="403" spans="1:16">
      <c r="A403" s="53"/>
      <c r="B403" s="3"/>
      <c r="C403" s="9"/>
      <c r="D403" s="3"/>
      <c r="E403" s="3"/>
      <c r="F403" s="53"/>
      <c r="G403" s="53"/>
      <c r="H403" s="53"/>
      <c r="I403" s="54"/>
      <c r="J403" s="53"/>
      <c r="K403" s="53"/>
      <c r="L403" s="53"/>
      <c r="M403" s="53"/>
      <c r="N403" s="54"/>
      <c r="O403" s="53"/>
      <c r="P403" s="53"/>
    </row>
    <row r="404" spans="1:16">
      <c r="A404" s="53"/>
      <c r="B404" s="3"/>
      <c r="C404" s="9"/>
      <c r="D404" s="3"/>
      <c r="E404" s="3"/>
      <c r="F404" s="53"/>
      <c r="G404" s="53"/>
      <c r="H404" s="53"/>
      <c r="I404" s="54"/>
      <c r="J404" s="53"/>
      <c r="K404" s="53"/>
      <c r="L404" s="53"/>
      <c r="M404" s="53"/>
      <c r="N404" s="54"/>
      <c r="O404" s="53"/>
      <c r="P404" s="53"/>
    </row>
    <row r="405" spans="1:16">
      <c r="A405" s="53"/>
      <c r="B405" s="3"/>
      <c r="C405" s="9"/>
      <c r="D405" s="3"/>
      <c r="E405" s="3"/>
      <c r="F405" s="53"/>
      <c r="G405" s="53"/>
      <c r="H405" s="53"/>
      <c r="I405" s="54"/>
      <c r="J405" s="53"/>
      <c r="K405" s="53"/>
      <c r="L405" s="53"/>
      <c r="M405" s="53"/>
      <c r="N405" s="54"/>
      <c r="O405" s="53"/>
      <c r="P405" s="53"/>
    </row>
    <row r="406" spans="1:16">
      <c r="A406" s="53"/>
      <c r="B406" s="3"/>
      <c r="C406" s="9"/>
      <c r="D406" s="3"/>
      <c r="E406" s="3"/>
      <c r="F406" s="53"/>
      <c r="G406" s="53"/>
      <c r="H406" s="53"/>
      <c r="I406" s="54"/>
      <c r="J406" s="53"/>
      <c r="K406" s="53"/>
      <c r="L406" s="53"/>
      <c r="M406" s="53"/>
      <c r="N406" s="54"/>
      <c r="O406" s="53"/>
      <c r="P406" s="53"/>
    </row>
    <row r="407" spans="1:16">
      <c r="A407" s="53"/>
      <c r="B407" s="3"/>
      <c r="C407" s="9"/>
      <c r="D407" s="3"/>
      <c r="E407" s="3"/>
      <c r="F407" s="53"/>
      <c r="G407" s="53"/>
      <c r="H407" s="53"/>
      <c r="I407" s="54"/>
      <c r="J407" s="53"/>
      <c r="K407" s="53"/>
      <c r="L407" s="53"/>
      <c r="M407" s="53"/>
      <c r="N407" s="54"/>
      <c r="O407" s="53"/>
      <c r="P407" s="53"/>
    </row>
    <row r="408" spans="1:16">
      <c r="A408" s="53"/>
      <c r="B408" s="3"/>
      <c r="C408" s="9"/>
      <c r="D408" s="3"/>
      <c r="E408" s="3"/>
      <c r="F408" s="53"/>
      <c r="G408" s="53"/>
      <c r="H408" s="53"/>
      <c r="I408" s="54"/>
      <c r="J408" s="53"/>
      <c r="K408" s="53"/>
      <c r="L408" s="53"/>
      <c r="M408" s="53"/>
      <c r="N408" s="54"/>
      <c r="O408" s="53"/>
      <c r="P408" s="53"/>
    </row>
    <row r="409" spans="1:16">
      <c r="A409" s="53"/>
      <c r="B409" s="3"/>
      <c r="C409" s="9"/>
      <c r="D409" s="3"/>
      <c r="E409" s="3"/>
      <c r="F409" s="53"/>
      <c r="G409" s="53"/>
      <c r="H409" s="53"/>
      <c r="I409" s="54"/>
      <c r="J409" s="53"/>
      <c r="K409" s="53"/>
      <c r="L409" s="53"/>
      <c r="M409" s="53"/>
      <c r="N409" s="54"/>
      <c r="O409" s="53"/>
      <c r="P409" s="53"/>
    </row>
    <row r="410" spans="1:16">
      <c r="A410" s="53"/>
      <c r="B410" s="3"/>
      <c r="C410" s="9"/>
      <c r="D410" s="3"/>
      <c r="E410" s="3"/>
      <c r="F410" s="53"/>
      <c r="G410" s="53"/>
      <c r="H410" s="53"/>
      <c r="I410" s="54"/>
      <c r="J410" s="53"/>
      <c r="K410" s="53"/>
      <c r="L410" s="53"/>
      <c r="M410" s="53"/>
      <c r="N410" s="54"/>
      <c r="O410" s="53"/>
      <c r="P410" s="53"/>
    </row>
    <row r="411" spans="1:16">
      <c r="A411" s="53"/>
      <c r="B411" s="3"/>
      <c r="C411" s="9"/>
      <c r="D411" s="3"/>
      <c r="E411" s="3"/>
      <c r="F411" s="53"/>
      <c r="G411" s="53"/>
      <c r="H411" s="53"/>
      <c r="I411" s="54"/>
      <c r="J411" s="53"/>
      <c r="K411" s="53"/>
      <c r="L411" s="53"/>
      <c r="M411" s="53"/>
      <c r="N411" s="54"/>
      <c r="O411" s="53"/>
      <c r="P411" s="53"/>
    </row>
    <row r="412" spans="1:16">
      <c r="A412" s="53"/>
      <c r="B412" s="3"/>
      <c r="C412" s="9"/>
      <c r="D412" s="3"/>
      <c r="E412" s="3"/>
      <c r="F412" s="53"/>
      <c r="G412" s="53"/>
      <c r="H412" s="53"/>
      <c r="I412" s="54"/>
      <c r="J412" s="53"/>
      <c r="K412" s="53"/>
      <c r="L412" s="53"/>
      <c r="M412" s="53"/>
      <c r="N412" s="54"/>
      <c r="O412" s="53"/>
      <c r="P412" s="53"/>
    </row>
    <row r="413" spans="1:16">
      <c r="A413" s="53"/>
      <c r="B413" s="3"/>
      <c r="C413" s="9"/>
      <c r="D413" s="3"/>
      <c r="E413" s="3"/>
      <c r="F413" s="53"/>
      <c r="G413" s="53"/>
      <c r="H413" s="53"/>
      <c r="I413" s="54"/>
      <c r="J413" s="53"/>
      <c r="K413" s="53"/>
      <c r="L413" s="53"/>
      <c r="M413" s="53"/>
      <c r="N413" s="54"/>
      <c r="O413" s="53"/>
      <c r="P413" s="53"/>
    </row>
    <row r="414" spans="1:16">
      <c r="A414" s="53"/>
      <c r="B414" s="3"/>
      <c r="C414" s="9"/>
      <c r="D414" s="3"/>
      <c r="E414" s="3"/>
      <c r="F414" s="53"/>
      <c r="G414" s="53"/>
      <c r="H414" s="53"/>
      <c r="I414" s="54"/>
      <c r="J414" s="53"/>
      <c r="K414" s="53"/>
      <c r="L414" s="53"/>
      <c r="M414" s="53"/>
      <c r="N414" s="54"/>
      <c r="O414" s="53"/>
      <c r="P414" s="53"/>
    </row>
    <row r="415" spans="1:16">
      <c r="A415" s="53"/>
      <c r="B415" s="3"/>
      <c r="C415" s="9"/>
      <c r="D415" s="3"/>
      <c r="E415" s="3"/>
      <c r="F415" s="53"/>
      <c r="G415" s="53"/>
      <c r="H415" s="53"/>
      <c r="I415" s="54"/>
      <c r="J415" s="53"/>
      <c r="K415" s="53"/>
      <c r="L415" s="53"/>
      <c r="M415" s="53"/>
      <c r="N415" s="54"/>
      <c r="O415" s="53"/>
      <c r="P415" s="53"/>
    </row>
    <row r="416" spans="1:16">
      <c r="A416" s="53"/>
      <c r="B416" s="3"/>
      <c r="C416" s="9"/>
      <c r="D416" s="3"/>
      <c r="E416" s="3"/>
      <c r="F416" s="53"/>
      <c r="G416" s="53"/>
      <c r="H416" s="53"/>
      <c r="I416" s="54"/>
      <c r="J416" s="53"/>
      <c r="K416" s="53"/>
      <c r="L416" s="53"/>
      <c r="M416" s="53"/>
      <c r="N416" s="54"/>
      <c r="O416" s="53"/>
      <c r="P416" s="53"/>
    </row>
    <row r="417" spans="1:16">
      <c r="A417" s="53"/>
      <c r="B417" s="3"/>
      <c r="C417" s="9"/>
      <c r="D417" s="3"/>
      <c r="E417" s="3"/>
      <c r="F417" s="53"/>
      <c r="G417" s="53"/>
      <c r="H417" s="53"/>
      <c r="I417" s="54"/>
      <c r="J417" s="53"/>
      <c r="K417" s="53"/>
      <c r="L417" s="53"/>
      <c r="M417" s="53"/>
      <c r="N417" s="54"/>
      <c r="O417" s="53"/>
      <c r="P417" s="53"/>
    </row>
    <row r="418" spans="1:16">
      <c r="A418" s="53"/>
      <c r="B418" s="3"/>
      <c r="C418" s="9"/>
      <c r="D418" s="3"/>
      <c r="E418" s="3"/>
      <c r="F418" s="53"/>
      <c r="G418" s="53"/>
      <c r="H418" s="53"/>
      <c r="I418" s="54"/>
      <c r="J418" s="53"/>
      <c r="K418" s="53"/>
      <c r="L418" s="53"/>
      <c r="M418" s="53"/>
      <c r="N418" s="54"/>
      <c r="O418" s="53"/>
      <c r="P418" s="53"/>
    </row>
    <row r="419" spans="1:16">
      <c r="A419" s="53"/>
      <c r="B419" s="3"/>
      <c r="C419" s="9"/>
      <c r="D419" s="3"/>
      <c r="E419" s="3"/>
      <c r="F419" s="53"/>
      <c r="G419" s="53"/>
      <c r="H419" s="53"/>
      <c r="I419" s="54"/>
      <c r="J419" s="53"/>
      <c r="K419" s="53"/>
      <c r="L419" s="53"/>
      <c r="M419" s="53"/>
      <c r="N419" s="54"/>
      <c r="O419" s="53"/>
      <c r="P419" s="53"/>
    </row>
    <row r="420" spans="1:16">
      <c r="A420" s="53"/>
      <c r="B420" s="3"/>
      <c r="C420" s="9"/>
      <c r="D420" s="3"/>
      <c r="E420" s="3"/>
      <c r="F420" s="53"/>
      <c r="G420" s="53"/>
      <c r="H420" s="53"/>
      <c r="I420" s="54"/>
      <c r="J420" s="53"/>
      <c r="K420" s="53"/>
      <c r="L420" s="53"/>
      <c r="M420" s="53"/>
      <c r="N420" s="54"/>
      <c r="O420" s="53"/>
      <c r="P420" s="53"/>
    </row>
    <row r="421" spans="1:16">
      <c r="A421" s="53"/>
      <c r="B421" s="3"/>
      <c r="C421" s="9"/>
      <c r="D421" s="3"/>
      <c r="E421" s="3"/>
      <c r="F421" s="53"/>
      <c r="G421" s="53"/>
      <c r="H421" s="53"/>
      <c r="I421" s="54"/>
      <c r="J421" s="53"/>
      <c r="K421" s="53"/>
      <c r="L421" s="53"/>
      <c r="M421" s="53"/>
      <c r="N421" s="54"/>
      <c r="O421" s="53"/>
      <c r="P421" s="53"/>
    </row>
    <row r="422" spans="1:16">
      <c r="A422" s="53"/>
      <c r="B422" s="3"/>
      <c r="C422" s="9"/>
      <c r="D422" s="3"/>
      <c r="E422" s="3"/>
      <c r="F422" s="53"/>
      <c r="G422" s="53"/>
      <c r="H422" s="53"/>
      <c r="I422" s="54"/>
      <c r="J422" s="53"/>
      <c r="K422" s="53"/>
      <c r="L422" s="53"/>
      <c r="M422" s="53"/>
      <c r="N422" s="54"/>
      <c r="O422" s="53"/>
      <c r="P422" s="53"/>
    </row>
    <row r="423" spans="1:16">
      <c r="A423" s="53"/>
      <c r="B423" s="3"/>
      <c r="C423" s="9"/>
      <c r="D423" s="3"/>
      <c r="E423" s="3"/>
      <c r="F423" s="53"/>
      <c r="G423" s="53"/>
      <c r="H423" s="53"/>
      <c r="I423" s="54"/>
      <c r="J423" s="53"/>
      <c r="K423" s="53"/>
      <c r="L423" s="53"/>
      <c r="M423" s="53"/>
      <c r="N423" s="54"/>
      <c r="O423" s="53"/>
      <c r="P423" s="53"/>
    </row>
    <row r="424" spans="1:16">
      <c r="A424" s="53"/>
      <c r="B424" s="3"/>
      <c r="C424" s="9"/>
      <c r="D424" s="3"/>
      <c r="E424" s="3"/>
      <c r="F424" s="53"/>
      <c r="G424" s="53"/>
      <c r="H424" s="53"/>
      <c r="I424" s="54"/>
      <c r="J424" s="53"/>
      <c r="K424" s="53"/>
      <c r="L424" s="53"/>
      <c r="M424" s="53"/>
      <c r="N424" s="54"/>
      <c r="O424" s="53"/>
      <c r="P424" s="53"/>
    </row>
    <row r="425" spans="1:16">
      <c r="A425" s="53"/>
      <c r="B425" s="3"/>
      <c r="C425" s="9"/>
      <c r="D425" s="3"/>
      <c r="E425" s="3"/>
      <c r="F425" s="53"/>
      <c r="G425" s="53"/>
      <c r="H425" s="53"/>
      <c r="I425" s="54"/>
      <c r="J425" s="53"/>
      <c r="K425" s="53"/>
      <c r="L425" s="53"/>
      <c r="M425" s="53"/>
      <c r="N425" s="54"/>
      <c r="O425" s="53"/>
      <c r="P425" s="53"/>
    </row>
    <row r="426" spans="1:16">
      <c r="A426" s="53"/>
      <c r="B426" s="3"/>
      <c r="C426" s="9"/>
      <c r="D426" s="3"/>
      <c r="E426" s="3"/>
      <c r="F426" s="53"/>
      <c r="G426" s="53"/>
      <c r="H426" s="53"/>
      <c r="I426" s="54"/>
      <c r="J426" s="53"/>
      <c r="K426" s="53"/>
      <c r="L426" s="53"/>
      <c r="M426" s="53"/>
      <c r="N426" s="54"/>
      <c r="O426" s="53"/>
      <c r="P426" s="53"/>
    </row>
    <row r="427" spans="1:16">
      <c r="A427" s="53"/>
      <c r="B427" s="3"/>
      <c r="C427" s="9"/>
      <c r="D427" s="3"/>
      <c r="E427" s="3"/>
      <c r="F427" s="53"/>
      <c r="G427" s="53"/>
      <c r="H427" s="53"/>
      <c r="I427" s="54"/>
      <c r="J427" s="53"/>
      <c r="K427" s="53"/>
      <c r="L427" s="53"/>
      <c r="M427" s="53"/>
      <c r="N427" s="54"/>
      <c r="O427" s="53"/>
      <c r="P427" s="53"/>
    </row>
    <row r="428" spans="1:16">
      <c r="A428" s="53"/>
      <c r="B428" s="3"/>
      <c r="C428" s="9"/>
      <c r="D428" s="3"/>
      <c r="E428" s="3"/>
      <c r="F428" s="53"/>
      <c r="G428" s="53"/>
      <c r="H428" s="53"/>
      <c r="I428" s="54"/>
      <c r="J428" s="53"/>
      <c r="K428" s="53"/>
      <c r="L428" s="53"/>
      <c r="M428" s="53"/>
      <c r="N428" s="54"/>
      <c r="O428" s="53"/>
      <c r="P428" s="53"/>
    </row>
    <row r="429" spans="1:16">
      <c r="A429" s="53"/>
      <c r="B429" s="3"/>
      <c r="C429" s="9"/>
      <c r="D429" s="3"/>
      <c r="E429" s="3"/>
      <c r="F429" s="53"/>
      <c r="G429" s="53"/>
      <c r="H429" s="53"/>
      <c r="I429" s="54"/>
      <c r="J429" s="53"/>
      <c r="K429" s="53"/>
      <c r="L429" s="53"/>
      <c r="M429" s="53"/>
      <c r="N429" s="54"/>
      <c r="O429" s="53"/>
      <c r="P429" s="53"/>
    </row>
    <row r="430" spans="1:16">
      <c r="A430" s="53"/>
      <c r="B430" s="3"/>
      <c r="C430" s="9"/>
      <c r="D430" s="3"/>
      <c r="E430" s="3"/>
      <c r="F430" s="53"/>
      <c r="G430" s="53"/>
      <c r="H430" s="53"/>
      <c r="I430" s="54"/>
      <c r="J430" s="53"/>
      <c r="K430" s="53"/>
      <c r="L430" s="53"/>
      <c r="M430" s="53"/>
      <c r="N430" s="54"/>
      <c r="O430" s="53"/>
      <c r="P430" s="53"/>
    </row>
    <row r="431" spans="1:16">
      <c r="A431" s="53"/>
      <c r="B431" s="3"/>
      <c r="C431" s="9"/>
      <c r="D431" s="3"/>
      <c r="E431" s="3"/>
      <c r="F431" s="53"/>
      <c r="G431" s="53"/>
      <c r="H431" s="53"/>
      <c r="I431" s="54"/>
      <c r="J431" s="53"/>
      <c r="K431" s="53"/>
      <c r="L431" s="53"/>
      <c r="M431" s="53"/>
      <c r="N431" s="54"/>
      <c r="O431" s="53"/>
      <c r="P431" s="53"/>
    </row>
    <row r="432" spans="1:16">
      <c r="A432" s="53"/>
      <c r="B432" s="3"/>
      <c r="C432" s="9"/>
      <c r="D432" s="3"/>
      <c r="E432" s="3"/>
      <c r="F432" s="53"/>
      <c r="G432" s="53"/>
      <c r="H432" s="53"/>
      <c r="I432" s="54"/>
      <c r="J432" s="53"/>
      <c r="K432" s="53"/>
      <c r="L432" s="53"/>
      <c r="M432" s="53"/>
      <c r="N432" s="54"/>
      <c r="O432" s="53"/>
      <c r="P432" s="53"/>
    </row>
    <row r="433" spans="1:16">
      <c r="A433" s="53"/>
      <c r="B433" s="3"/>
      <c r="C433" s="9"/>
      <c r="D433" s="3"/>
      <c r="E433" s="3"/>
      <c r="F433" s="53"/>
      <c r="G433" s="53"/>
      <c r="H433" s="53"/>
      <c r="I433" s="54"/>
      <c r="J433" s="53"/>
      <c r="K433" s="53"/>
      <c r="L433" s="53"/>
      <c r="M433" s="53"/>
      <c r="N433" s="54"/>
      <c r="O433" s="53"/>
      <c r="P433" s="53"/>
    </row>
    <row r="434" spans="1:16">
      <c r="A434" s="53"/>
      <c r="B434" s="3"/>
      <c r="C434" s="9"/>
      <c r="D434" s="3"/>
      <c r="E434" s="3"/>
      <c r="F434" s="53"/>
      <c r="G434" s="53"/>
      <c r="H434" s="53"/>
      <c r="I434" s="54"/>
      <c r="J434" s="53"/>
      <c r="K434" s="53"/>
      <c r="L434" s="53"/>
      <c r="M434" s="53"/>
      <c r="N434" s="54"/>
      <c r="O434" s="53"/>
      <c r="P434" s="53"/>
    </row>
    <row r="435" spans="1:16">
      <c r="A435" s="53"/>
      <c r="B435" s="3"/>
      <c r="C435" s="9"/>
      <c r="D435" s="3"/>
      <c r="E435" s="3"/>
      <c r="F435" s="53"/>
      <c r="G435" s="53"/>
      <c r="H435" s="53"/>
      <c r="I435" s="54"/>
      <c r="J435" s="53"/>
      <c r="K435" s="53"/>
      <c r="L435" s="53"/>
      <c r="M435" s="53"/>
      <c r="N435" s="54"/>
      <c r="O435" s="53"/>
      <c r="P435" s="53"/>
    </row>
    <row r="436" spans="1:16">
      <c r="A436" s="53"/>
      <c r="B436" s="3"/>
      <c r="C436" s="9"/>
      <c r="D436" s="3"/>
      <c r="E436" s="3"/>
      <c r="F436" s="53"/>
      <c r="G436" s="53"/>
      <c r="H436" s="53"/>
      <c r="I436" s="54"/>
      <c r="J436" s="53"/>
      <c r="K436" s="53"/>
      <c r="L436" s="53"/>
      <c r="M436" s="53"/>
      <c r="N436" s="54"/>
      <c r="O436" s="53"/>
      <c r="P436" s="53"/>
    </row>
    <row r="437" spans="1:16">
      <c r="A437" s="53"/>
      <c r="B437" s="3"/>
      <c r="C437" s="9"/>
      <c r="D437" s="3"/>
      <c r="E437" s="3"/>
      <c r="F437" s="53"/>
      <c r="G437" s="53"/>
      <c r="H437" s="53"/>
      <c r="I437" s="54"/>
      <c r="J437" s="53"/>
      <c r="K437" s="53"/>
      <c r="L437" s="53"/>
      <c r="M437" s="53"/>
      <c r="N437" s="54"/>
      <c r="O437" s="53"/>
      <c r="P437" s="53"/>
    </row>
    <row r="438" spans="1:16">
      <c r="A438" s="53"/>
      <c r="B438" s="3"/>
      <c r="C438" s="9"/>
      <c r="D438" s="3"/>
      <c r="E438" s="3"/>
      <c r="F438" s="53"/>
      <c r="G438" s="53"/>
      <c r="H438" s="53"/>
      <c r="I438" s="54"/>
      <c r="J438" s="53"/>
      <c r="K438" s="53"/>
      <c r="L438" s="53"/>
      <c r="M438" s="53"/>
      <c r="N438" s="54"/>
      <c r="O438" s="53"/>
      <c r="P438" s="53"/>
    </row>
    <row r="439" spans="1:16">
      <c r="A439" s="53"/>
      <c r="B439" s="3"/>
      <c r="C439" s="9"/>
      <c r="D439" s="3"/>
      <c r="E439" s="3"/>
      <c r="F439" s="53"/>
      <c r="G439" s="53"/>
      <c r="H439" s="53"/>
      <c r="I439" s="54"/>
      <c r="J439" s="53"/>
      <c r="K439" s="53"/>
      <c r="L439" s="53"/>
      <c r="M439" s="53"/>
      <c r="N439" s="54"/>
      <c r="O439" s="53"/>
      <c r="P439" s="53"/>
    </row>
    <row r="440" spans="1:16">
      <c r="A440" s="53"/>
      <c r="B440" s="3"/>
      <c r="C440" s="9"/>
      <c r="D440" s="3"/>
      <c r="E440" s="3"/>
      <c r="F440" s="53"/>
      <c r="G440" s="53"/>
      <c r="H440" s="53"/>
      <c r="I440" s="54"/>
      <c r="J440" s="53"/>
      <c r="K440" s="53"/>
      <c r="L440" s="53"/>
      <c r="M440" s="53"/>
      <c r="N440" s="54"/>
      <c r="O440" s="53"/>
      <c r="P440" s="53"/>
    </row>
    <row r="441" spans="1:16">
      <c r="A441" s="53"/>
      <c r="B441" s="3"/>
      <c r="C441" s="9"/>
      <c r="D441" s="3"/>
      <c r="E441" s="3"/>
      <c r="F441" s="53"/>
      <c r="G441" s="53"/>
      <c r="H441" s="53"/>
      <c r="I441" s="54"/>
      <c r="J441" s="53"/>
      <c r="K441" s="53"/>
      <c r="L441" s="53"/>
      <c r="M441" s="53"/>
      <c r="N441" s="54"/>
      <c r="O441" s="53"/>
      <c r="P441" s="53"/>
    </row>
    <row r="442" spans="1:16">
      <c r="A442" s="53"/>
      <c r="B442" s="3"/>
      <c r="C442" s="9"/>
      <c r="D442" s="3"/>
      <c r="E442" s="3"/>
      <c r="F442" s="53"/>
      <c r="G442" s="53"/>
      <c r="H442" s="53"/>
      <c r="I442" s="54"/>
      <c r="J442" s="53"/>
      <c r="K442" s="53"/>
      <c r="L442" s="53"/>
      <c r="M442" s="53"/>
      <c r="N442" s="54"/>
      <c r="O442" s="53"/>
      <c r="P442" s="53"/>
    </row>
    <row r="443" spans="1:16">
      <c r="A443" s="53"/>
      <c r="B443" s="3"/>
      <c r="C443" s="9"/>
      <c r="D443" s="3"/>
      <c r="E443" s="3"/>
      <c r="F443" s="53"/>
      <c r="G443" s="53"/>
      <c r="H443" s="53"/>
      <c r="I443" s="54"/>
      <c r="J443" s="53"/>
      <c r="K443" s="53"/>
      <c r="L443" s="53"/>
      <c r="M443" s="53"/>
      <c r="N443" s="54"/>
      <c r="O443" s="53"/>
      <c r="P443" s="53"/>
    </row>
    <row r="444" spans="1:16">
      <c r="A444" s="53"/>
      <c r="B444" s="3"/>
      <c r="C444" s="9"/>
      <c r="D444" s="3"/>
      <c r="E444" s="3"/>
      <c r="F444" s="53"/>
      <c r="G444" s="53"/>
      <c r="H444" s="53"/>
      <c r="I444" s="54"/>
      <c r="J444" s="53"/>
      <c r="K444" s="53"/>
      <c r="L444" s="53"/>
      <c r="M444" s="53"/>
      <c r="N444" s="54"/>
      <c r="O444" s="53"/>
      <c r="P444" s="53"/>
    </row>
    <row r="445" spans="1:16">
      <c r="A445" s="53"/>
      <c r="B445" s="3"/>
      <c r="C445" s="9"/>
      <c r="D445" s="3"/>
      <c r="E445" s="3"/>
      <c r="F445" s="53"/>
      <c r="G445" s="53"/>
      <c r="H445" s="53"/>
      <c r="I445" s="54"/>
      <c r="J445" s="53"/>
      <c r="K445" s="53"/>
      <c r="L445" s="53"/>
      <c r="M445" s="53"/>
      <c r="N445" s="54"/>
      <c r="O445" s="53"/>
      <c r="P445" s="53"/>
    </row>
    <row r="446" spans="1:16">
      <c r="A446" s="53"/>
      <c r="B446" s="3"/>
      <c r="C446" s="9"/>
      <c r="D446" s="3"/>
      <c r="E446" s="3"/>
      <c r="F446" s="53"/>
      <c r="G446" s="53"/>
      <c r="H446" s="53"/>
      <c r="I446" s="54"/>
      <c r="J446" s="53"/>
      <c r="K446" s="53"/>
      <c r="L446" s="53"/>
      <c r="M446" s="53"/>
      <c r="N446" s="54"/>
      <c r="O446" s="53"/>
      <c r="P446" s="53"/>
    </row>
    <row r="447" spans="1:16">
      <c r="A447" s="53"/>
      <c r="B447" s="3"/>
      <c r="C447" s="9"/>
      <c r="D447" s="3"/>
      <c r="E447" s="3"/>
      <c r="F447" s="53"/>
      <c r="G447" s="53"/>
      <c r="H447" s="53"/>
      <c r="I447" s="54"/>
      <c r="J447" s="53"/>
      <c r="K447" s="53"/>
      <c r="L447" s="53"/>
      <c r="M447" s="53"/>
      <c r="N447" s="54"/>
      <c r="O447" s="53"/>
      <c r="P447" s="53"/>
    </row>
    <row r="448" spans="1:16">
      <c r="A448" s="53"/>
      <c r="B448" s="3"/>
      <c r="C448" s="9"/>
      <c r="D448" s="3"/>
      <c r="E448" s="3"/>
      <c r="F448" s="53"/>
      <c r="G448" s="53"/>
      <c r="H448" s="53"/>
      <c r="I448" s="54"/>
      <c r="J448" s="53"/>
      <c r="K448" s="53"/>
      <c r="L448" s="53"/>
      <c r="M448" s="53"/>
      <c r="N448" s="54"/>
      <c r="O448" s="53"/>
      <c r="P448" s="53"/>
    </row>
    <row r="449" spans="1:16">
      <c r="A449" s="53"/>
      <c r="B449" s="3"/>
      <c r="C449" s="9"/>
      <c r="D449" s="3"/>
      <c r="E449" s="3"/>
      <c r="F449" s="53"/>
      <c r="G449" s="53"/>
      <c r="H449" s="53"/>
      <c r="I449" s="54"/>
      <c r="J449" s="53"/>
      <c r="K449" s="53"/>
      <c r="L449" s="53"/>
      <c r="M449" s="53"/>
      <c r="N449" s="54"/>
      <c r="O449" s="53"/>
      <c r="P449" s="53"/>
    </row>
    <row r="450" spans="1:16">
      <c r="A450" s="53"/>
      <c r="B450" s="3"/>
      <c r="C450" s="9"/>
      <c r="D450" s="3"/>
      <c r="E450" s="3"/>
      <c r="F450" s="53"/>
      <c r="G450" s="53"/>
      <c r="H450" s="53"/>
      <c r="I450" s="54"/>
      <c r="J450" s="53"/>
      <c r="K450" s="53"/>
      <c r="L450" s="53"/>
      <c r="M450" s="53"/>
      <c r="N450" s="54"/>
      <c r="O450" s="53"/>
      <c r="P450" s="53"/>
    </row>
    <row r="451" spans="1:16">
      <c r="A451" s="53"/>
      <c r="B451" s="3"/>
      <c r="C451" s="9"/>
      <c r="D451" s="3"/>
      <c r="E451" s="3"/>
      <c r="F451" s="53"/>
      <c r="G451" s="53"/>
      <c r="H451" s="53"/>
      <c r="I451" s="54"/>
      <c r="J451" s="53"/>
      <c r="K451" s="53"/>
      <c r="L451" s="53"/>
      <c r="M451" s="53"/>
      <c r="N451" s="54"/>
      <c r="O451" s="53"/>
      <c r="P451" s="53"/>
    </row>
    <row r="452" spans="1:16">
      <c r="A452" s="53"/>
      <c r="B452" s="3"/>
      <c r="C452" s="9"/>
      <c r="D452" s="3"/>
      <c r="E452" s="3"/>
      <c r="F452" s="53"/>
      <c r="G452" s="53"/>
      <c r="H452" s="53"/>
      <c r="I452" s="54"/>
      <c r="J452" s="53"/>
      <c r="K452" s="53"/>
      <c r="L452" s="53"/>
      <c r="M452" s="53"/>
      <c r="N452" s="54"/>
      <c r="O452" s="53"/>
      <c r="P452" s="53"/>
    </row>
    <row r="453" spans="1:16">
      <c r="A453" s="53"/>
      <c r="B453" s="3"/>
      <c r="C453" s="9"/>
      <c r="D453" s="3"/>
      <c r="E453" s="3"/>
      <c r="F453" s="53"/>
      <c r="G453" s="53"/>
      <c r="H453" s="53"/>
      <c r="I453" s="54"/>
      <c r="J453" s="53"/>
      <c r="K453" s="53"/>
      <c r="L453" s="53"/>
      <c r="M453" s="53"/>
      <c r="N453" s="54"/>
      <c r="O453" s="53"/>
      <c r="P453" s="53"/>
    </row>
    <row r="454" spans="1:16">
      <c r="A454" s="53"/>
      <c r="B454" s="3"/>
      <c r="C454" s="9"/>
      <c r="D454" s="3"/>
      <c r="E454" s="3"/>
      <c r="F454" s="53"/>
      <c r="G454" s="53"/>
      <c r="H454" s="53"/>
      <c r="I454" s="54"/>
      <c r="J454" s="53"/>
      <c r="K454" s="53"/>
      <c r="L454" s="53"/>
      <c r="M454" s="53"/>
      <c r="N454" s="54"/>
      <c r="O454" s="53"/>
      <c r="P454" s="53"/>
    </row>
    <row r="455" spans="1:16">
      <c r="A455" s="53"/>
      <c r="B455" s="3"/>
      <c r="C455" s="9"/>
      <c r="D455" s="3"/>
      <c r="E455" s="3"/>
      <c r="F455" s="53"/>
      <c r="G455" s="53"/>
      <c r="H455" s="53"/>
      <c r="I455" s="54"/>
      <c r="J455" s="53"/>
      <c r="K455" s="53"/>
      <c r="L455" s="53"/>
      <c r="M455" s="53"/>
      <c r="N455" s="54"/>
      <c r="O455" s="53"/>
      <c r="P455" s="53"/>
    </row>
    <row r="456" spans="1:16">
      <c r="A456" s="53"/>
      <c r="B456" s="3"/>
      <c r="C456" s="9"/>
      <c r="D456" s="3"/>
      <c r="E456" s="3"/>
      <c r="F456" s="53"/>
      <c r="G456" s="53"/>
      <c r="H456" s="53"/>
      <c r="I456" s="54"/>
      <c r="J456" s="53"/>
      <c r="K456" s="53"/>
      <c r="L456" s="53"/>
      <c r="M456" s="53"/>
      <c r="N456" s="54"/>
      <c r="O456" s="53"/>
      <c r="P456" s="53"/>
    </row>
    <row r="457" spans="1:16">
      <c r="A457" s="53"/>
      <c r="B457" s="3"/>
      <c r="C457" s="9"/>
      <c r="D457" s="3"/>
      <c r="E457" s="3"/>
      <c r="F457" s="53"/>
      <c r="G457" s="53"/>
      <c r="H457" s="53"/>
      <c r="I457" s="54"/>
      <c r="J457" s="53"/>
      <c r="K457" s="53"/>
      <c r="L457" s="53"/>
      <c r="M457" s="53"/>
      <c r="N457" s="54"/>
      <c r="O457" s="53"/>
      <c r="P457" s="53"/>
    </row>
    <row r="458" spans="1:16">
      <c r="A458" s="53"/>
      <c r="B458" s="3"/>
      <c r="C458" s="9"/>
      <c r="D458" s="3"/>
      <c r="E458" s="3"/>
      <c r="F458" s="53"/>
      <c r="G458" s="53"/>
      <c r="H458" s="53"/>
      <c r="I458" s="54"/>
      <c r="J458" s="53"/>
      <c r="K458" s="53"/>
      <c r="L458" s="53"/>
      <c r="M458" s="53"/>
      <c r="N458" s="54"/>
      <c r="O458" s="53"/>
      <c r="P458" s="53"/>
    </row>
    <row r="459" spans="1:16">
      <c r="A459" s="53"/>
      <c r="B459" s="3"/>
      <c r="C459" s="9"/>
      <c r="D459" s="3"/>
      <c r="E459" s="3"/>
      <c r="F459" s="53"/>
      <c r="G459" s="53"/>
      <c r="H459" s="53"/>
      <c r="I459" s="54"/>
      <c r="J459" s="53"/>
      <c r="K459" s="53"/>
      <c r="L459" s="53"/>
      <c r="M459" s="53"/>
      <c r="N459" s="54"/>
      <c r="O459" s="53"/>
      <c r="P459" s="53"/>
    </row>
    <row r="460" spans="1:16">
      <c r="A460" s="53"/>
      <c r="B460" s="3"/>
      <c r="C460" s="9"/>
      <c r="D460" s="3"/>
      <c r="E460" s="3"/>
      <c r="F460" s="53"/>
      <c r="G460" s="53"/>
      <c r="H460" s="53"/>
      <c r="I460" s="54"/>
      <c r="J460" s="53"/>
      <c r="K460" s="53"/>
      <c r="L460" s="53"/>
      <c r="M460" s="53"/>
      <c r="N460" s="54"/>
      <c r="O460" s="53"/>
      <c r="P460" s="53"/>
    </row>
    <row r="461" spans="1:16">
      <c r="A461" s="53"/>
      <c r="B461" s="3"/>
      <c r="C461" s="9"/>
      <c r="D461" s="3"/>
      <c r="E461" s="3"/>
      <c r="F461" s="53"/>
      <c r="G461" s="53"/>
      <c r="H461" s="53"/>
      <c r="I461" s="54"/>
      <c r="J461" s="53"/>
      <c r="K461" s="53"/>
      <c r="L461" s="53"/>
      <c r="M461" s="53"/>
      <c r="N461" s="54"/>
      <c r="O461" s="53"/>
      <c r="P461" s="53"/>
    </row>
    <row r="462" spans="1:16">
      <c r="A462" s="53"/>
      <c r="B462" s="3"/>
      <c r="C462" s="9"/>
      <c r="D462" s="3"/>
      <c r="E462" s="3"/>
      <c r="F462" s="53"/>
      <c r="G462" s="53"/>
      <c r="H462" s="53"/>
      <c r="I462" s="54"/>
      <c r="J462" s="53"/>
      <c r="K462" s="53"/>
      <c r="L462" s="53"/>
      <c r="M462" s="53"/>
      <c r="N462" s="54"/>
      <c r="O462" s="53"/>
      <c r="P462" s="53"/>
    </row>
    <row r="463" spans="1:16">
      <c r="A463" s="53"/>
      <c r="B463" s="3"/>
      <c r="C463" s="9"/>
      <c r="D463" s="3"/>
      <c r="E463" s="3"/>
      <c r="F463" s="53"/>
      <c r="G463" s="53"/>
      <c r="H463" s="53"/>
      <c r="I463" s="54"/>
      <c r="J463" s="53"/>
      <c r="K463" s="53"/>
      <c r="L463" s="53"/>
      <c r="M463" s="53"/>
      <c r="N463" s="54"/>
      <c r="O463" s="53"/>
      <c r="P463" s="53"/>
    </row>
    <row r="464" spans="1:16">
      <c r="A464" s="53"/>
      <c r="B464" s="3"/>
      <c r="C464" s="9"/>
      <c r="D464" s="3"/>
      <c r="E464" s="3"/>
      <c r="F464" s="53"/>
      <c r="G464" s="53"/>
      <c r="H464" s="53"/>
      <c r="I464" s="54"/>
      <c r="J464" s="53"/>
      <c r="K464" s="53"/>
      <c r="L464" s="53"/>
      <c r="M464" s="53"/>
      <c r="N464" s="54"/>
      <c r="O464" s="53"/>
      <c r="P464" s="53"/>
    </row>
    <row r="465" spans="1:16">
      <c r="A465" s="53"/>
      <c r="B465" s="3"/>
      <c r="C465" s="9"/>
      <c r="D465" s="3"/>
      <c r="E465" s="3"/>
      <c r="F465" s="53"/>
      <c r="G465" s="53"/>
      <c r="H465" s="53"/>
      <c r="I465" s="54"/>
      <c r="J465" s="53"/>
      <c r="K465" s="53"/>
      <c r="L465" s="53"/>
      <c r="M465" s="53"/>
      <c r="N465" s="54"/>
      <c r="O465" s="53"/>
      <c r="P465" s="53"/>
    </row>
    <row r="466" spans="1:16">
      <c r="A466" s="53"/>
      <c r="B466" s="3"/>
      <c r="C466" s="9"/>
      <c r="D466" s="3"/>
      <c r="E466" s="3"/>
      <c r="F466" s="53"/>
      <c r="G466" s="53"/>
      <c r="H466" s="53"/>
      <c r="I466" s="54"/>
      <c r="J466" s="53"/>
      <c r="K466" s="53"/>
      <c r="L466" s="53"/>
      <c r="M466" s="53"/>
      <c r="N466" s="54"/>
      <c r="O466" s="53"/>
      <c r="P466" s="53"/>
    </row>
    <row r="467" spans="1:16">
      <c r="A467" s="53"/>
      <c r="B467" s="3"/>
      <c r="C467" s="9"/>
      <c r="D467" s="3"/>
      <c r="E467" s="3"/>
      <c r="F467" s="53"/>
      <c r="G467" s="53"/>
      <c r="H467" s="53"/>
      <c r="I467" s="54"/>
      <c r="J467" s="53"/>
      <c r="K467" s="53"/>
      <c r="L467" s="53"/>
      <c r="M467" s="53"/>
      <c r="N467" s="54"/>
      <c r="O467" s="53"/>
      <c r="P467" s="53"/>
    </row>
    <row r="468" spans="1:16">
      <c r="A468" s="53"/>
      <c r="B468" s="3"/>
      <c r="C468" s="9"/>
      <c r="D468" s="3"/>
      <c r="E468" s="3"/>
      <c r="F468" s="53"/>
      <c r="G468" s="53"/>
      <c r="H468" s="53"/>
      <c r="I468" s="54"/>
      <c r="J468" s="53"/>
      <c r="K468" s="53"/>
      <c r="L468" s="53"/>
      <c r="M468" s="53"/>
      <c r="N468" s="54"/>
      <c r="O468" s="53"/>
      <c r="P468" s="53"/>
    </row>
    <row r="469" spans="1:16">
      <c r="A469" s="53"/>
      <c r="B469" s="3"/>
      <c r="C469" s="9"/>
      <c r="D469" s="3"/>
      <c r="E469" s="3"/>
      <c r="F469" s="53"/>
      <c r="G469" s="53"/>
      <c r="H469" s="53"/>
      <c r="I469" s="54"/>
      <c r="J469" s="53"/>
      <c r="K469" s="53"/>
      <c r="L469" s="53"/>
      <c r="M469" s="53"/>
      <c r="N469" s="54"/>
      <c r="O469" s="53"/>
      <c r="P469" s="53"/>
    </row>
    <row r="470" spans="1:16">
      <c r="A470" s="53"/>
      <c r="B470" s="3"/>
      <c r="C470" s="9"/>
      <c r="D470" s="3"/>
      <c r="E470" s="3"/>
      <c r="F470" s="53"/>
      <c r="G470" s="53"/>
      <c r="H470" s="53"/>
      <c r="I470" s="54"/>
      <c r="J470" s="53"/>
      <c r="K470" s="53"/>
      <c r="L470" s="53"/>
      <c r="M470" s="53"/>
      <c r="N470" s="54"/>
      <c r="O470" s="53"/>
      <c r="P470" s="53"/>
    </row>
    <row r="471" spans="1:16">
      <c r="A471" s="53"/>
      <c r="B471" s="3"/>
      <c r="C471" s="9"/>
      <c r="D471" s="3"/>
      <c r="E471" s="3"/>
      <c r="F471" s="53"/>
      <c r="G471" s="53"/>
      <c r="H471" s="53"/>
      <c r="I471" s="54"/>
      <c r="J471" s="53"/>
      <c r="K471" s="53"/>
      <c r="L471" s="53"/>
      <c r="M471" s="53"/>
      <c r="N471" s="54"/>
      <c r="O471" s="53"/>
      <c r="P471" s="53"/>
    </row>
    <row r="472" spans="1:16">
      <c r="A472" s="53"/>
      <c r="B472" s="3"/>
      <c r="C472" s="9"/>
      <c r="D472" s="3"/>
      <c r="E472" s="3"/>
      <c r="F472" s="53"/>
      <c r="G472" s="53"/>
      <c r="H472" s="53"/>
      <c r="I472" s="54"/>
      <c r="J472" s="53"/>
      <c r="K472" s="53"/>
      <c r="L472" s="53"/>
      <c r="M472" s="53"/>
      <c r="N472" s="54"/>
      <c r="O472" s="53"/>
      <c r="P472" s="53"/>
    </row>
    <row r="473" spans="1:16">
      <c r="A473" s="53"/>
      <c r="B473" s="3"/>
      <c r="C473" s="9"/>
      <c r="D473" s="3"/>
      <c r="E473" s="3"/>
      <c r="F473" s="53"/>
      <c r="G473" s="53"/>
      <c r="H473" s="53"/>
      <c r="I473" s="54"/>
      <c r="J473" s="53"/>
      <c r="K473" s="53"/>
      <c r="L473" s="53"/>
      <c r="M473" s="53"/>
      <c r="N473" s="54"/>
      <c r="O473" s="53"/>
      <c r="P473" s="53"/>
    </row>
    <row r="474" spans="1:16">
      <c r="A474" s="53"/>
      <c r="B474" s="3"/>
      <c r="C474" s="9"/>
      <c r="D474" s="3"/>
      <c r="E474" s="3"/>
      <c r="F474" s="53"/>
      <c r="G474" s="53"/>
      <c r="H474" s="53"/>
      <c r="I474" s="54"/>
      <c r="J474" s="53"/>
      <c r="K474" s="53"/>
      <c r="L474" s="53"/>
      <c r="M474" s="53"/>
      <c r="N474" s="54"/>
      <c r="O474" s="53"/>
      <c r="P474" s="53"/>
    </row>
    <row r="475" spans="1:16">
      <c r="A475" s="53"/>
      <c r="B475" s="3"/>
      <c r="C475" s="9"/>
      <c r="D475" s="3"/>
      <c r="E475" s="3"/>
      <c r="F475" s="53"/>
      <c r="G475" s="53"/>
      <c r="H475" s="53"/>
      <c r="I475" s="54"/>
      <c r="J475" s="53"/>
      <c r="K475" s="53"/>
      <c r="L475" s="53"/>
      <c r="M475" s="53"/>
      <c r="N475" s="54"/>
      <c r="O475" s="53"/>
      <c r="P475" s="53"/>
    </row>
    <row r="476" spans="1:16">
      <c r="A476" s="53"/>
      <c r="B476" s="3"/>
      <c r="C476" s="9"/>
      <c r="D476" s="3"/>
      <c r="E476" s="3"/>
      <c r="F476" s="53"/>
      <c r="G476" s="53"/>
      <c r="H476" s="53"/>
      <c r="I476" s="54"/>
      <c r="J476" s="53"/>
      <c r="K476" s="53"/>
      <c r="L476" s="53"/>
      <c r="M476" s="53"/>
      <c r="N476" s="54"/>
      <c r="O476" s="53"/>
      <c r="P476" s="53"/>
    </row>
    <row r="477" spans="1:16">
      <c r="A477" s="53"/>
      <c r="B477" s="3"/>
      <c r="C477" s="9"/>
      <c r="D477" s="3"/>
      <c r="E477" s="3"/>
      <c r="F477" s="53"/>
      <c r="G477" s="53"/>
      <c r="H477" s="53"/>
      <c r="I477" s="54"/>
      <c r="J477" s="53"/>
      <c r="K477" s="53"/>
      <c r="L477" s="53"/>
      <c r="M477" s="53"/>
      <c r="N477" s="54"/>
      <c r="O477" s="53"/>
      <c r="P477" s="53"/>
    </row>
    <row r="478" spans="1:16">
      <c r="A478" s="53"/>
      <c r="B478" s="3"/>
      <c r="C478" s="9"/>
      <c r="D478" s="3"/>
      <c r="E478" s="3"/>
      <c r="F478" s="53"/>
      <c r="G478" s="53"/>
      <c r="H478" s="53"/>
      <c r="I478" s="54"/>
      <c r="J478" s="53"/>
      <c r="K478" s="53"/>
      <c r="L478" s="53"/>
      <c r="M478" s="53"/>
      <c r="N478" s="54"/>
      <c r="O478" s="53"/>
      <c r="P478" s="53"/>
    </row>
    <row r="479" spans="1:16">
      <c r="A479" s="53"/>
      <c r="B479" s="3"/>
      <c r="C479" s="9"/>
      <c r="D479" s="3"/>
      <c r="E479" s="3"/>
      <c r="F479" s="53"/>
      <c r="G479" s="53"/>
      <c r="H479" s="53"/>
      <c r="I479" s="54"/>
      <c r="J479" s="53"/>
      <c r="K479" s="53"/>
      <c r="L479" s="53"/>
      <c r="M479" s="53"/>
      <c r="N479" s="54"/>
      <c r="O479" s="53"/>
      <c r="P479" s="53"/>
    </row>
    <row r="480" spans="1:16">
      <c r="A480" s="53"/>
      <c r="B480" s="3"/>
      <c r="C480" s="9"/>
      <c r="D480" s="3"/>
      <c r="E480" s="3"/>
      <c r="F480" s="53"/>
      <c r="G480" s="53"/>
      <c r="H480" s="53"/>
      <c r="I480" s="54"/>
      <c r="J480" s="53"/>
      <c r="K480" s="53"/>
      <c r="L480" s="53"/>
      <c r="M480" s="53"/>
      <c r="N480" s="54"/>
      <c r="O480" s="53"/>
      <c r="P480" s="53"/>
    </row>
    <row r="481" spans="1:16">
      <c r="A481" s="53"/>
      <c r="B481" s="3"/>
      <c r="C481" s="9"/>
      <c r="D481" s="3"/>
      <c r="E481" s="3"/>
      <c r="F481" s="53"/>
      <c r="G481" s="53"/>
      <c r="H481" s="53"/>
      <c r="I481" s="54"/>
      <c r="J481" s="53"/>
      <c r="K481" s="53"/>
      <c r="L481" s="53"/>
      <c r="M481" s="53"/>
      <c r="N481" s="54"/>
      <c r="O481" s="53"/>
      <c r="P481" s="53"/>
    </row>
    <row r="482" spans="1:16">
      <c r="A482" s="53"/>
      <c r="B482" s="3"/>
      <c r="C482" s="9"/>
      <c r="D482" s="3"/>
      <c r="E482" s="3"/>
      <c r="F482" s="53"/>
      <c r="G482" s="53"/>
      <c r="H482" s="53"/>
      <c r="I482" s="54"/>
      <c r="J482" s="53"/>
      <c r="K482" s="53"/>
      <c r="L482" s="53"/>
      <c r="M482" s="53"/>
      <c r="N482" s="54"/>
      <c r="O482" s="53"/>
      <c r="P482" s="53"/>
    </row>
    <row r="483" spans="1:16">
      <c r="A483" s="53"/>
      <c r="B483" s="3"/>
      <c r="C483" s="9"/>
      <c r="D483" s="3"/>
      <c r="E483" s="3"/>
      <c r="F483" s="53"/>
      <c r="G483" s="53"/>
      <c r="H483" s="53"/>
      <c r="I483" s="54"/>
      <c r="J483" s="53"/>
      <c r="K483" s="53"/>
      <c r="L483" s="53"/>
      <c r="M483" s="53"/>
      <c r="N483" s="54"/>
      <c r="O483" s="53"/>
      <c r="P483" s="53"/>
    </row>
    <row r="484" spans="1:16">
      <c r="A484" s="53"/>
      <c r="B484" s="3"/>
      <c r="C484" s="9"/>
      <c r="D484" s="3"/>
      <c r="E484" s="3"/>
      <c r="F484" s="53"/>
      <c r="G484" s="53"/>
      <c r="H484" s="53"/>
      <c r="I484" s="54"/>
      <c r="J484" s="53"/>
      <c r="K484" s="53"/>
      <c r="L484" s="53"/>
      <c r="M484" s="53"/>
      <c r="N484" s="54"/>
      <c r="O484" s="53"/>
      <c r="P484" s="53"/>
    </row>
    <row r="485" spans="1:16">
      <c r="A485" s="53"/>
      <c r="B485" s="3"/>
      <c r="C485" s="9"/>
      <c r="D485" s="3"/>
      <c r="E485" s="3"/>
      <c r="F485" s="53"/>
      <c r="G485" s="53"/>
      <c r="H485" s="53"/>
      <c r="I485" s="54"/>
      <c r="J485" s="53"/>
      <c r="K485" s="53"/>
      <c r="L485" s="53"/>
      <c r="M485" s="53"/>
      <c r="N485" s="54"/>
      <c r="O485" s="53"/>
      <c r="P485" s="53"/>
    </row>
    <row r="486" spans="1:16">
      <c r="A486" s="53"/>
      <c r="B486" s="3"/>
      <c r="C486" s="9"/>
      <c r="D486" s="3"/>
      <c r="E486" s="3"/>
      <c r="F486" s="53"/>
      <c r="G486" s="53"/>
      <c r="H486" s="53"/>
      <c r="I486" s="54"/>
      <c r="J486" s="53"/>
      <c r="K486" s="53"/>
      <c r="L486" s="53"/>
      <c r="M486" s="53"/>
      <c r="N486" s="54"/>
      <c r="O486" s="53"/>
      <c r="P486" s="53"/>
    </row>
    <row r="487" spans="1:16">
      <c r="A487" s="53"/>
      <c r="B487" s="3"/>
      <c r="C487" s="9"/>
      <c r="D487" s="3"/>
      <c r="E487" s="3"/>
      <c r="F487" s="53"/>
      <c r="G487" s="53"/>
      <c r="H487" s="53"/>
      <c r="I487" s="54"/>
      <c r="J487" s="53"/>
      <c r="K487" s="53"/>
      <c r="L487" s="53"/>
      <c r="M487" s="53"/>
      <c r="N487" s="54"/>
      <c r="O487" s="53"/>
      <c r="P487" s="53"/>
    </row>
    <row r="488" spans="1:16">
      <c r="A488" s="53"/>
      <c r="B488" s="3"/>
      <c r="C488" s="9"/>
      <c r="D488" s="3"/>
      <c r="E488" s="3"/>
      <c r="F488" s="53"/>
      <c r="G488" s="53"/>
      <c r="H488" s="53"/>
      <c r="I488" s="54"/>
      <c r="J488" s="53"/>
      <c r="K488" s="53"/>
      <c r="L488" s="53"/>
      <c r="M488" s="53"/>
      <c r="N488" s="54"/>
      <c r="O488" s="53"/>
      <c r="P488" s="53"/>
    </row>
    <row r="489" spans="1:16">
      <c r="A489" s="53"/>
      <c r="B489" s="3"/>
      <c r="C489" s="9"/>
      <c r="D489" s="3"/>
      <c r="E489" s="3"/>
      <c r="F489" s="53"/>
      <c r="G489" s="53"/>
      <c r="H489" s="53"/>
      <c r="I489" s="54"/>
      <c r="J489" s="53"/>
      <c r="K489" s="53"/>
      <c r="L489" s="53"/>
      <c r="M489" s="53"/>
      <c r="N489" s="54"/>
      <c r="O489" s="53"/>
      <c r="P489" s="53"/>
    </row>
    <row r="490" spans="1:16">
      <c r="A490" s="53"/>
      <c r="B490" s="3"/>
      <c r="C490" s="9"/>
      <c r="D490" s="3"/>
      <c r="E490" s="3"/>
      <c r="F490" s="53"/>
      <c r="G490" s="53"/>
      <c r="H490" s="53"/>
      <c r="I490" s="54"/>
      <c r="J490" s="53"/>
      <c r="K490" s="53"/>
      <c r="L490" s="53"/>
      <c r="M490" s="53"/>
      <c r="N490" s="54"/>
      <c r="O490" s="53"/>
      <c r="P490" s="53"/>
    </row>
    <row r="491" spans="1:16">
      <c r="A491" s="53"/>
      <c r="B491" s="3"/>
      <c r="C491" s="9"/>
      <c r="D491" s="3"/>
      <c r="E491" s="3"/>
      <c r="F491" s="53"/>
      <c r="G491" s="53"/>
      <c r="H491" s="53"/>
      <c r="I491" s="54"/>
      <c r="J491" s="53"/>
      <c r="K491" s="53"/>
      <c r="L491" s="53"/>
      <c r="M491" s="53"/>
      <c r="N491" s="54"/>
      <c r="O491" s="53"/>
      <c r="P491" s="53"/>
    </row>
    <row r="492" spans="1:16">
      <c r="A492" s="53"/>
      <c r="B492" s="3"/>
      <c r="C492" s="9"/>
      <c r="D492" s="3"/>
      <c r="E492" s="3"/>
      <c r="F492" s="53"/>
      <c r="G492" s="53"/>
      <c r="H492" s="53"/>
      <c r="I492" s="54"/>
      <c r="J492" s="53"/>
      <c r="K492" s="53"/>
      <c r="L492" s="53"/>
      <c r="M492" s="53"/>
      <c r="N492" s="54"/>
      <c r="O492" s="53"/>
      <c r="P492" s="53"/>
    </row>
    <row r="493" spans="1:16">
      <c r="A493" s="53"/>
      <c r="B493" s="3"/>
      <c r="C493" s="9"/>
      <c r="D493" s="3"/>
      <c r="E493" s="3"/>
      <c r="F493" s="53"/>
      <c r="G493" s="53"/>
      <c r="H493" s="53"/>
      <c r="I493" s="54"/>
      <c r="J493" s="53"/>
      <c r="K493" s="53"/>
      <c r="L493" s="53"/>
      <c r="M493" s="53"/>
      <c r="N493" s="54"/>
      <c r="O493" s="53"/>
      <c r="P493" s="53"/>
    </row>
    <row r="494" spans="1:16">
      <c r="A494" s="53"/>
      <c r="B494" s="3"/>
      <c r="C494" s="9"/>
      <c r="D494" s="3"/>
      <c r="E494" s="3"/>
      <c r="F494" s="53"/>
      <c r="G494" s="53"/>
      <c r="H494" s="53"/>
      <c r="I494" s="54"/>
      <c r="J494" s="53"/>
      <c r="K494" s="53"/>
      <c r="L494" s="53"/>
      <c r="M494" s="53"/>
      <c r="N494" s="54"/>
      <c r="O494" s="53"/>
      <c r="P494" s="53"/>
    </row>
    <row r="495" spans="1:16">
      <c r="A495" s="53"/>
      <c r="B495" s="3"/>
      <c r="C495" s="9"/>
      <c r="D495" s="3"/>
      <c r="E495" s="3"/>
      <c r="F495" s="53"/>
      <c r="G495" s="53"/>
      <c r="H495" s="53"/>
      <c r="I495" s="54"/>
      <c r="J495" s="53"/>
      <c r="K495" s="53"/>
      <c r="L495" s="53"/>
      <c r="M495" s="53"/>
      <c r="N495" s="54"/>
      <c r="O495" s="53"/>
      <c r="P495" s="53"/>
    </row>
    <row r="496" spans="1:16">
      <c r="A496" s="53"/>
      <c r="B496" s="3"/>
      <c r="C496" s="9"/>
      <c r="D496" s="3"/>
      <c r="E496" s="3"/>
      <c r="F496" s="53"/>
      <c r="G496" s="53"/>
      <c r="H496" s="53"/>
      <c r="I496" s="54"/>
      <c r="J496" s="53"/>
      <c r="K496" s="53"/>
      <c r="L496" s="53"/>
      <c r="M496" s="53"/>
      <c r="N496" s="54"/>
      <c r="O496" s="53"/>
      <c r="P496" s="53"/>
    </row>
    <row r="497" spans="1:16">
      <c r="A497" s="53"/>
      <c r="B497" s="3"/>
      <c r="C497" s="9"/>
      <c r="D497" s="3"/>
      <c r="E497" s="3"/>
      <c r="F497" s="53"/>
      <c r="G497" s="53"/>
      <c r="H497" s="53"/>
      <c r="I497" s="54"/>
      <c r="J497" s="53"/>
      <c r="K497" s="53"/>
      <c r="L497" s="53"/>
      <c r="M497" s="53"/>
      <c r="N497" s="54"/>
      <c r="O497" s="53"/>
      <c r="P497" s="53"/>
    </row>
    <row r="498" spans="1:16">
      <c r="A498" s="53"/>
      <c r="B498" s="3"/>
      <c r="C498" s="9"/>
      <c r="D498" s="3"/>
      <c r="E498" s="3"/>
      <c r="F498" s="53"/>
      <c r="G498" s="53"/>
      <c r="H498" s="53"/>
      <c r="I498" s="54"/>
      <c r="J498" s="53"/>
      <c r="K498" s="53"/>
      <c r="L498" s="53"/>
      <c r="M498" s="53"/>
      <c r="N498" s="54"/>
      <c r="O498" s="53"/>
      <c r="P498" s="53"/>
    </row>
    <row r="499" spans="1:16">
      <c r="A499" s="53"/>
      <c r="B499" s="3"/>
      <c r="C499" s="9"/>
      <c r="D499" s="3"/>
      <c r="E499" s="3"/>
      <c r="F499" s="53"/>
      <c r="G499" s="53"/>
      <c r="H499" s="53"/>
      <c r="I499" s="54"/>
      <c r="J499" s="53"/>
      <c r="K499" s="53"/>
      <c r="L499" s="53"/>
      <c r="M499" s="53"/>
      <c r="N499" s="54"/>
      <c r="O499" s="53"/>
      <c r="P499" s="53"/>
    </row>
    <row r="500" spans="1:16">
      <c r="A500" s="53"/>
      <c r="B500" s="3"/>
      <c r="C500" s="9"/>
      <c r="D500" s="3"/>
      <c r="E500" s="3"/>
      <c r="F500" s="53"/>
      <c r="G500" s="53"/>
      <c r="H500" s="53"/>
      <c r="I500" s="54"/>
      <c r="J500" s="53"/>
      <c r="K500" s="53"/>
      <c r="L500" s="53"/>
      <c r="M500" s="53"/>
      <c r="N500" s="54"/>
      <c r="O500" s="53"/>
      <c r="P500" s="53"/>
    </row>
    <row r="501" spans="1:16">
      <c r="A501" s="53"/>
      <c r="B501" s="3"/>
      <c r="C501" s="9"/>
      <c r="D501" s="3"/>
      <c r="E501" s="3"/>
      <c r="F501" s="53"/>
      <c r="G501" s="53"/>
      <c r="H501" s="53"/>
      <c r="I501" s="54"/>
      <c r="J501" s="53"/>
      <c r="K501" s="53"/>
      <c r="L501" s="53"/>
      <c r="M501" s="53"/>
      <c r="N501" s="54"/>
      <c r="O501" s="53"/>
      <c r="P501" s="53"/>
    </row>
    <row r="502" spans="1:16">
      <c r="A502" s="53"/>
      <c r="B502" s="3"/>
      <c r="C502" s="9"/>
      <c r="D502" s="3"/>
      <c r="E502" s="3"/>
      <c r="F502" s="53"/>
      <c r="G502" s="53"/>
      <c r="H502" s="53"/>
      <c r="I502" s="54"/>
      <c r="J502" s="53"/>
      <c r="K502" s="53"/>
      <c r="L502" s="53"/>
      <c r="M502" s="53"/>
      <c r="N502" s="54"/>
      <c r="O502" s="53"/>
      <c r="P502" s="53"/>
    </row>
    <row r="503" spans="1:16">
      <c r="A503" s="53"/>
      <c r="B503" s="3"/>
      <c r="C503" s="9"/>
      <c r="D503" s="3"/>
      <c r="E503" s="3"/>
      <c r="F503" s="53"/>
      <c r="G503" s="53"/>
      <c r="H503" s="53"/>
      <c r="I503" s="54"/>
      <c r="J503" s="53"/>
      <c r="K503" s="53"/>
      <c r="L503" s="53"/>
      <c r="M503" s="53"/>
      <c r="N503" s="54"/>
      <c r="O503" s="53"/>
      <c r="P503" s="53"/>
    </row>
    <row r="504" spans="1:16">
      <c r="A504" s="53"/>
      <c r="B504" s="3"/>
      <c r="C504" s="9"/>
      <c r="D504" s="3"/>
      <c r="E504" s="3"/>
      <c r="F504" s="53"/>
      <c r="G504" s="53"/>
      <c r="H504" s="53"/>
      <c r="I504" s="54"/>
      <c r="J504" s="53"/>
      <c r="K504" s="53"/>
      <c r="L504" s="53"/>
      <c r="M504" s="53"/>
      <c r="N504" s="54"/>
      <c r="O504" s="53"/>
      <c r="P504" s="53"/>
    </row>
    <row r="505" spans="1:16">
      <c r="A505" s="53"/>
      <c r="B505" s="3"/>
      <c r="C505" s="9"/>
      <c r="D505" s="3"/>
      <c r="E505" s="3"/>
      <c r="F505" s="53"/>
      <c r="G505" s="53"/>
      <c r="H505" s="53"/>
      <c r="I505" s="54"/>
      <c r="J505" s="53"/>
      <c r="K505" s="53"/>
      <c r="L505" s="53"/>
      <c r="M505" s="53"/>
      <c r="N505" s="54"/>
      <c r="O505" s="53"/>
      <c r="P505" s="53"/>
    </row>
    <row r="506" spans="1:16">
      <c r="A506" s="53"/>
      <c r="B506" s="3"/>
      <c r="C506" s="9"/>
      <c r="D506" s="3"/>
      <c r="E506" s="3"/>
      <c r="F506" s="53"/>
      <c r="G506" s="53"/>
      <c r="H506" s="53"/>
      <c r="I506" s="54"/>
      <c r="J506" s="53"/>
      <c r="K506" s="53"/>
      <c r="L506" s="53"/>
      <c r="M506" s="53"/>
      <c r="N506" s="54"/>
      <c r="O506" s="53"/>
      <c r="P506" s="53"/>
    </row>
    <row r="507" spans="1:16">
      <c r="A507" s="53"/>
      <c r="B507" s="3"/>
      <c r="C507" s="9"/>
      <c r="D507" s="3"/>
      <c r="E507" s="3"/>
      <c r="F507" s="53"/>
      <c r="G507" s="53"/>
      <c r="H507" s="53"/>
      <c r="I507" s="54"/>
      <c r="J507" s="53"/>
      <c r="K507" s="53"/>
      <c r="L507" s="53"/>
      <c r="M507" s="53"/>
      <c r="N507" s="54"/>
      <c r="O507" s="53"/>
      <c r="P507" s="53"/>
    </row>
    <row r="508" spans="1:16">
      <c r="A508" s="53"/>
      <c r="B508" s="3"/>
      <c r="C508" s="9"/>
      <c r="D508" s="3"/>
      <c r="E508" s="3"/>
      <c r="F508" s="53"/>
      <c r="G508" s="53"/>
      <c r="H508" s="53"/>
      <c r="I508" s="54"/>
      <c r="J508" s="53"/>
      <c r="K508" s="53"/>
      <c r="L508" s="53"/>
      <c r="M508" s="53"/>
      <c r="N508" s="54"/>
      <c r="O508" s="53"/>
      <c r="P508" s="53"/>
    </row>
    <row r="509" spans="1:16">
      <c r="A509" s="53"/>
      <c r="B509" s="3"/>
      <c r="C509" s="9"/>
      <c r="D509" s="3"/>
      <c r="E509" s="3"/>
      <c r="F509" s="53"/>
      <c r="G509" s="53"/>
      <c r="H509" s="53"/>
      <c r="I509" s="54"/>
      <c r="J509" s="53"/>
      <c r="K509" s="53"/>
      <c r="L509" s="53"/>
      <c r="M509" s="53"/>
      <c r="N509" s="54"/>
      <c r="O509" s="53"/>
      <c r="P509" s="53"/>
    </row>
    <row r="510" spans="1:16">
      <c r="A510" s="53"/>
      <c r="B510" s="3"/>
      <c r="C510" s="9"/>
      <c r="D510" s="3"/>
      <c r="E510" s="3"/>
      <c r="F510" s="53"/>
      <c r="G510" s="53"/>
      <c r="H510" s="53"/>
      <c r="I510" s="54"/>
      <c r="J510" s="53"/>
      <c r="K510" s="53"/>
      <c r="L510" s="53"/>
      <c r="M510" s="53"/>
      <c r="N510" s="54"/>
      <c r="O510" s="53"/>
      <c r="P510" s="53"/>
    </row>
    <row r="511" spans="1:16">
      <c r="A511" s="53"/>
      <c r="B511" s="3"/>
      <c r="C511" s="9"/>
      <c r="D511" s="3"/>
      <c r="E511" s="3"/>
      <c r="F511" s="53"/>
      <c r="G511" s="53"/>
      <c r="H511" s="53"/>
      <c r="I511" s="54"/>
      <c r="J511" s="53"/>
      <c r="K511" s="53"/>
      <c r="L511" s="53"/>
      <c r="M511" s="53"/>
      <c r="N511" s="54"/>
      <c r="O511" s="53"/>
      <c r="P511" s="53"/>
    </row>
    <row r="512" spans="1:16">
      <c r="A512" s="53"/>
      <c r="B512" s="3"/>
      <c r="C512" s="9"/>
      <c r="D512" s="3"/>
      <c r="E512" s="3"/>
      <c r="F512" s="53"/>
      <c r="G512" s="53"/>
      <c r="H512" s="53"/>
      <c r="I512" s="54"/>
      <c r="J512" s="53"/>
      <c r="K512" s="53"/>
      <c r="L512" s="53"/>
      <c r="M512" s="53"/>
      <c r="N512" s="54"/>
      <c r="O512" s="53"/>
      <c r="P512" s="53"/>
    </row>
    <row r="513" spans="1:16">
      <c r="A513" s="53"/>
      <c r="B513" s="3"/>
      <c r="C513" s="9"/>
      <c r="D513" s="3"/>
      <c r="E513" s="3"/>
      <c r="F513" s="53"/>
      <c r="G513" s="53"/>
      <c r="H513" s="53"/>
      <c r="I513" s="54"/>
      <c r="J513" s="53"/>
      <c r="K513" s="53"/>
      <c r="L513" s="53"/>
      <c r="M513" s="53"/>
      <c r="N513" s="54"/>
      <c r="O513" s="53"/>
      <c r="P513" s="53"/>
    </row>
    <row r="514" spans="1:16">
      <c r="A514" s="53"/>
      <c r="B514" s="3"/>
      <c r="C514" s="9"/>
      <c r="D514" s="3"/>
      <c r="E514" s="3"/>
      <c r="F514" s="53"/>
      <c r="G514" s="53"/>
      <c r="H514" s="53"/>
      <c r="I514" s="54"/>
      <c r="J514" s="53"/>
      <c r="K514" s="53"/>
      <c r="L514" s="53"/>
      <c r="M514" s="53"/>
      <c r="N514" s="54"/>
      <c r="O514" s="53"/>
      <c r="P514" s="53"/>
    </row>
    <row r="515" spans="1:16">
      <c r="A515" s="53"/>
      <c r="B515" s="3"/>
      <c r="C515" s="9"/>
      <c r="D515" s="3"/>
      <c r="E515" s="3"/>
      <c r="F515" s="53"/>
      <c r="G515" s="53"/>
      <c r="H515" s="53"/>
      <c r="I515" s="54"/>
      <c r="J515" s="53"/>
      <c r="K515" s="53"/>
      <c r="L515" s="53"/>
      <c r="M515" s="53"/>
      <c r="N515" s="54"/>
      <c r="O515" s="53"/>
      <c r="P515" s="53"/>
    </row>
    <row r="516" spans="1:16">
      <c r="A516" s="53"/>
      <c r="B516" s="3"/>
      <c r="C516" s="9"/>
      <c r="D516" s="3"/>
      <c r="E516" s="3"/>
      <c r="F516" s="53"/>
      <c r="G516" s="53"/>
      <c r="H516" s="53"/>
      <c r="I516" s="54"/>
      <c r="J516" s="53"/>
      <c r="K516" s="53"/>
      <c r="L516" s="53"/>
      <c r="M516" s="53"/>
      <c r="N516" s="54"/>
      <c r="O516" s="53"/>
      <c r="P516" s="53"/>
    </row>
    <row r="517" spans="1:16">
      <c r="A517" s="53"/>
      <c r="B517" s="3"/>
      <c r="C517" s="9"/>
      <c r="D517" s="3"/>
      <c r="E517" s="3"/>
      <c r="F517" s="53"/>
      <c r="G517" s="53"/>
      <c r="H517" s="53"/>
      <c r="I517" s="54"/>
      <c r="J517" s="53"/>
      <c r="K517" s="53"/>
      <c r="L517" s="53"/>
      <c r="M517" s="53"/>
      <c r="N517" s="54"/>
      <c r="O517" s="53"/>
      <c r="P517" s="53"/>
    </row>
    <row r="518" spans="1:16">
      <c r="A518" s="53"/>
      <c r="B518" s="3"/>
      <c r="C518" s="9"/>
      <c r="D518" s="3"/>
      <c r="E518" s="3"/>
      <c r="F518" s="53"/>
      <c r="G518" s="53"/>
      <c r="H518" s="53"/>
      <c r="I518" s="54"/>
      <c r="J518" s="53"/>
      <c r="K518" s="53"/>
      <c r="L518" s="53"/>
      <c r="M518" s="53"/>
      <c r="N518" s="54"/>
      <c r="O518" s="53"/>
      <c r="P518" s="53"/>
    </row>
    <row r="519" spans="1:16">
      <c r="A519" s="53"/>
      <c r="B519" s="3"/>
      <c r="C519" s="9"/>
      <c r="D519" s="3"/>
      <c r="E519" s="3"/>
      <c r="F519" s="53"/>
      <c r="G519" s="53"/>
      <c r="H519" s="53"/>
      <c r="I519" s="54"/>
      <c r="J519" s="53"/>
      <c r="K519" s="53"/>
      <c r="L519" s="53"/>
      <c r="M519" s="53"/>
      <c r="N519" s="54"/>
      <c r="O519" s="53"/>
      <c r="P519" s="53"/>
    </row>
    <row r="520" spans="1:16">
      <c r="A520" s="53"/>
      <c r="B520" s="3"/>
      <c r="C520" s="9"/>
      <c r="D520" s="3"/>
      <c r="E520" s="3"/>
      <c r="F520" s="53"/>
      <c r="G520" s="53"/>
      <c r="H520" s="53"/>
      <c r="I520" s="54"/>
      <c r="J520" s="53"/>
      <c r="K520" s="53"/>
      <c r="L520" s="53"/>
      <c r="M520" s="53"/>
      <c r="N520" s="54"/>
      <c r="O520" s="53"/>
      <c r="P520" s="53"/>
    </row>
    <row r="521" spans="1:16">
      <c r="A521" s="53"/>
      <c r="B521" s="3"/>
      <c r="C521" s="9"/>
      <c r="D521" s="3"/>
      <c r="E521" s="3"/>
      <c r="F521" s="53"/>
      <c r="G521" s="53"/>
      <c r="H521" s="53"/>
      <c r="I521" s="54"/>
      <c r="J521" s="53"/>
      <c r="K521" s="53"/>
      <c r="L521" s="53"/>
      <c r="M521" s="53"/>
      <c r="N521" s="54"/>
      <c r="O521" s="53"/>
      <c r="P521" s="53"/>
    </row>
    <row r="522" spans="1:16">
      <c r="A522" s="53"/>
      <c r="B522" s="3"/>
      <c r="C522" s="9"/>
      <c r="D522" s="3"/>
      <c r="E522" s="3"/>
      <c r="F522" s="53"/>
      <c r="G522" s="53"/>
      <c r="H522" s="53"/>
      <c r="I522" s="54"/>
      <c r="J522" s="53"/>
      <c r="K522" s="53"/>
      <c r="L522" s="53"/>
      <c r="M522" s="53"/>
      <c r="N522" s="54"/>
      <c r="O522" s="53"/>
      <c r="P522" s="53"/>
    </row>
    <row r="523" spans="1:16">
      <c r="A523" s="53"/>
      <c r="B523" s="3"/>
      <c r="C523" s="9"/>
      <c r="D523" s="3"/>
      <c r="E523" s="3"/>
      <c r="F523" s="53"/>
      <c r="G523" s="53"/>
      <c r="H523" s="53"/>
      <c r="I523" s="54"/>
      <c r="J523" s="53"/>
      <c r="K523" s="53"/>
      <c r="L523" s="53"/>
      <c r="M523" s="53"/>
      <c r="N523" s="54"/>
      <c r="O523" s="53"/>
      <c r="P523" s="53"/>
    </row>
    <row r="524" spans="1:16">
      <c r="A524" s="53"/>
      <c r="B524" s="3"/>
      <c r="C524" s="9"/>
      <c r="D524" s="3"/>
      <c r="E524" s="3"/>
      <c r="F524" s="53"/>
      <c r="G524" s="53"/>
      <c r="H524" s="53"/>
      <c r="I524" s="54"/>
      <c r="J524" s="53"/>
      <c r="K524" s="53"/>
      <c r="L524" s="53"/>
      <c r="M524" s="53"/>
      <c r="N524" s="54"/>
      <c r="O524" s="53"/>
      <c r="P524" s="53"/>
    </row>
    <row r="525" spans="1:16">
      <c r="A525" s="53"/>
      <c r="B525" s="3"/>
      <c r="C525" s="9"/>
      <c r="D525" s="3"/>
      <c r="E525" s="3"/>
      <c r="F525" s="53"/>
      <c r="G525" s="53"/>
      <c r="H525" s="53"/>
      <c r="I525" s="54"/>
      <c r="J525" s="53"/>
      <c r="K525" s="53"/>
      <c r="L525" s="53"/>
      <c r="M525" s="53"/>
      <c r="N525" s="54"/>
      <c r="O525" s="53"/>
      <c r="P525" s="53"/>
    </row>
    <row r="526" spans="1:16">
      <c r="A526" s="53"/>
      <c r="B526" s="3"/>
      <c r="C526" s="9"/>
      <c r="D526" s="3"/>
      <c r="E526" s="3"/>
      <c r="F526" s="53"/>
      <c r="G526" s="53"/>
      <c r="H526" s="53"/>
      <c r="I526" s="54"/>
      <c r="J526" s="53"/>
      <c r="K526" s="53"/>
      <c r="L526" s="53"/>
      <c r="M526" s="53"/>
      <c r="N526" s="54"/>
      <c r="O526" s="53"/>
      <c r="P526" s="53"/>
    </row>
    <row r="527" spans="1:16">
      <c r="A527" s="53"/>
      <c r="B527" s="3"/>
      <c r="C527" s="9"/>
      <c r="D527" s="3"/>
      <c r="E527" s="3"/>
      <c r="F527" s="53"/>
      <c r="G527" s="53"/>
      <c r="H527" s="53"/>
      <c r="I527" s="54"/>
      <c r="J527" s="53"/>
      <c r="K527" s="53"/>
      <c r="L527" s="53"/>
      <c r="M527" s="53"/>
      <c r="N527" s="54"/>
      <c r="O527" s="53"/>
      <c r="P527" s="53"/>
    </row>
    <row r="528" spans="1:16">
      <c r="A528" s="53"/>
      <c r="B528" s="3"/>
      <c r="C528" s="9"/>
      <c r="D528" s="3"/>
      <c r="E528" s="3"/>
      <c r="F528" s="53"/>
      <c r="G528" s="53"/>
      <c r="H528" s="53"/>
      <c r="I528" s="54"/>
      <c r="J528" s="53"/>
      <c r="K528" s="53"/>
      <c r="L528" s="53"/>
      <c r="M528" s="53"/>
      <c r="N528" s="54"/>
      <c r="O528" s="53"/>
      <c r="P528" s="53"/>
    </row>
    <row r="529" spans="1:16">
      <c r="A529" s="53"/>
      <c r="B529" s="3"/>
      <c r="C529" s="9"/>
      <c r="D529" s="3"/>
      <c r="E529" s="3"/>
      <c r="F529" s="53"/>
      <c r="G529" s="53"/>
      <c r="H529" s="53"/>
      <c r="I529" s="54"/>
      <c r="J529" s="53"/>
      <c r="K529" s="53"/>
      <c r="L529" s="53"/>
      <c r="M529" s="53"/>
      <c r="N529" s="54"/>
      <c r="O529" s="53"/>
      <c r="P529" s="53"/>
    </row>
    <row r="530" spans="1:16">
      <c r="A530" s="53"/>
      <c r="B530" s="3"/>
      <c r="C530" s="9"/>
      <c r="D530" s="3"/>
      <c r="E530" s="3"/>
      <c r="F530" s="53"/>
      <c r="G530" s="53"/>
      <c r="H530" s="53"/>
      <c r="I530" s="54"/>
      <c r="J530" s="53"/>
      <c r="K530" s="53"/>
      <c r="L530" s="53"/>
      <c r="M530" s="53"/>
      <c r="N530" s="54"/>
      <c r="O530" s="53"/>
      <c r="P530" s="53"/>
    </row>
    <row r="531" spans="1:16">
      <c r="A531" s="53"/>
      <c r="B531" s="3"/>
      <c r="C531" s="9"/>
      <c r="D531" s="3"/>
      <c r="E531" s="3"/>
      <c r="F531" s="53"/>
      <c r="G531" s="53"/>
      <c r="H531" s="53"/>
      <c r="I531" s="54"/>
      <c r="J531" s="53"/>
      <c r="K531" s="53"/>
      <c r="L531" s="53"/>
      <c r="M531" s="53"/>
      <c r="N531" s="54"/>
      <c r="O531" s="53"/>
      <c r="P531" s="53"/>
    </row>
    <row r="532" spans="1:16">
      <c r="A532" s="53"/>
      <c r="B532" s="3"/>
      <c r="C532" s="9"/>
      <c r="D532" s="3"/>
      <c r="E532" s="3"/>
      <c r="F532" s="53"/>
      <c r="G532" s="53"/>
      <c r="H532" s="53"/>
      <c r="I532" s="54"/>
      <c r="J532" s="53"/>
      <c r="K532" s="53"/>
      <c r="L532" s="53"/>
      <c r="M532" s="53"/>
      <c r="N532" s="54"/>
      <c r="O532" s="53"/>
      <c r="P532" s="53"/>
    </row>
    <row r="533" spans="1:16">
      <c r="A533" s="53"/>
      <c r="B533" s="3"/>
      <c r="C533" s="9"/>
      <c r="D533" s="3"/>
      <c r="E533" s="3"/>
      <c r="F533" s="53"/>
      <c r="G533" s="53"/>
      <c r="H533" s="53"/>
      <c r="I533" s="54"/>
      <c r="J533" s="53"/>
      <c r="K533" s="53"/>
      <c r="L533" s="53"/>
      <c r="M533" s="53"/>
      <c r="N533" s="54"/>
      <c r="O533" s="53"/>
      <c r="P533" s="53"/>
    </row>
    <row r="534" spans="1:16">
      <c r="A534" s="53"/>
      <c r="B534" s="3"/>
      <c r="C534" s="9"/>
      <c r="D534" s="3"/>
      <c r="E534" s="3"/>
      <c r="F534" s="53"/>
      <c r="G534" s="53"/>
      <c r="H534" s="53"/>
      <c r="I534" s="54"/>
      <c r="J534" s="53"/>
      <c r="K534" s="53"/>
      <c r="L534" s="53"/>
      <c r="M534" s="53"/>
      <c r="N534" s="54"/>
      <c r="O534" s="53"/>
      <c r="P534" s="53"/>
    </row>
    <row r="535" spans="1:16">
      <c r="A535" s="53"/>
      <c r="B535" s="3"/>
      <c r="C535" s="9"/>
      <c r="D535" s="3"/>
      <c r="E535" s="3"/>
      <c r="F535" s="53"/>
      <c r="G535" s="53"/>
      <c r="H535" s="53"/>
      <c r="I535" s="54"/>
      <c r="J535" s="53"/>
      <c r="K535" s="53"/>
      <c r="L535" s="53"/>
      <c r="M535" s="53"/>
      <c r="N535" s="54"/>
      <c r="O535" s="53"/>
      <c r="P535" s="53"/>
    </row>
    <row r="536" spans="1:16">
      <c r="A536" s="53"/>
      <c r="B536" s="3"/>
      <c r="C536" s="9"/>
      <c r="D536" s="3"/>
      <c r="E536" s="3"/>
      <c r="F536" s="53"/>
      <c r="G536" s="53"/>
      <c r="H536" s="53"/>
      <c r="I536" s="54"/>
      <c r="J536" s="53"/>
      <c r="K536" s="53"/>
      <c r="L536" s="53"/>
      <c r="M536" s="53"/>
      <c r="N536" s="54"/>
      <c r="O536" s="53"/>
      <c r="P536" s="53"/>
    </row>
    <row r="537" spans="1:16">
      <c r="A537" s="53"/>
      <c r="B537" s="3"/>
      <c r="C537" s="9"/>
      <c r="D537" s="3"/>
      <c r="E537" s="3"/>
      <c r="F537" s="53"/>
      <c r="G537" s="53"/>
      <c r="H537" s="53"/>
      <c r="I537" s="54"/>
      <c r="J537" s="53"/>
      <c r="K537" s="53"/>
      <c r="L537" s="53"/>
      <c r="M537" s="53"/>
      <c r="N537" s="54"/>
      <c r="O537" s="53"/>
      <c r="P537" s="53"/>
    </row>
    <row r="538" spans="1:16">
      <c r="A538" s="53"/>
      <c r="B538" s="3"/>
      <c r="C538" s="9"/>
      <c r="D538" s="3"/>
      <c r="E538" s="3"/>
      <c r="F538" s="53"/>
      <c r="G538" s="53"/>
      <c r="H538" s="53"/>
      <c r="I538" s="54"/>
      <c r="J538" s="53"/>
      <c r="K538" s="53"/>
      <c r="L538" s="53"/>
      <c r="M538" s="53"/>
      <c r="N538" s="54"/>
      <c r="O538" s="53"/>
      <c r="P538" s="53"/>
    </row>
    <row r="539" spans="1:16">
      <c r="A539" s="53"/>
      <c r="B539" s="3"/>
      <c r="C539" s="9"/>
      <c r="D539" s="3"/>
      <c r="E539" s="3"/>
      <c r="F539" s="53"/>
      <c r="G539" s="53"/>
      <c r="H539" s="53"/>
      <c r="I539" s="54"/>
      <c r="J539" s="53"/>
      <c r="K539" s="53"/>
      <c r="L539" s="53"/>
      <c r="M539" s="53"/>
      <c r="N539" s="54"/>
      <c r="O539" s="53"/>
      <c r="P539" s="53"/>
    </row>
    <row r="540" spans="1:16">
      <c r="A540" s="53"/>
      <c r="B540" s="3"/>
      <c r="C540" s="9"/>
      <c r="D540" s="3"/>
      <c r="E540" s="3"/>
      <c r="F540" s="53"/>
      <c r="G540" s="53"/>
      <c r="H540" s="53"/>
      <c r="I540" s="54"/>
      <c r="J540" s="53"/>
      <c r="K540" s="53"/>
      <c r="L540" s="53"/>
      <c r="M540" s="53"/>
      <c r="N540" s="54"/>
      <c r="O540" s="53"/>
      <c r="P540" s="53"/>
    </row>
    <row r="541" spans="1:16">
      <c r="A541" s="53"/>
      <c r="B541" s="3"/>
      <c r="C541" s="9"/>
      <c r="D541" s="3"/>
      <c r="E541" s="3"/>
      <c r="F541" s="53"/>
      <c r="G541" s="53"/>
      <c r="H541" s="53"/>
      <c r="I541" s="54"/>
      <c r="J541" s="53"/>
      <c r="K541" s="53"/>
      <c r="L541" s="53"/>
      <c r="M541" s="53"/>
      <c r="N541" s="54"/>
      <c r="O541" s="53"/>
      <c r="P541" s="53"/>
    </row>
    <row r="542" spans="1:16">
      <c r="A542" s="53"/>
      <c r="B542" s="3"/>
      <c r="C542" s="9"/>
      <c r="D542" s="3"/>
      <c r="E542" s="3"/>
      <c r="F542" s="53"/>
      <c r="G542" s="53"/>
      <c r="H542" s="53"/>
      <c r="I542" s="54"/>
      <c r="J542" s="53"/>
      <c r="K542" s="53"/>
      <c r="L542" s="53"/>
      <c r="M542" s="53"/>
      <c r="N542" s="54"/>
      <c r="O542" s="53"/>
      <c r="P542" s="53"/>
    </row>
    <row r="543" spans="1:16">
      <c r="A543" s="53"/>
      <c r="B543" s="3"/>
      <c r="C543" s="9"/>
      <c r="D543" s="3"/>
      <c r="E543" s="3"/>
      <c r="F543" s="53"/>
      <c r="G543" s="53"/>
      <c r="H543" s="53"/>
      <c r="I543" s="54"/>
      <c r="J543" s="53"/>
      <c r="K543" s="53"/>
      <c r="L543" s="53"/>
      <c r="M543" s="53"/>
      <c r="N543" s="54"/>
      <c r="O543" s="53"/>
      <c r="P543" s="53"/>
    </row>
    <row r="544" spans="1:16">
      <c r="A544" s="53"/>
      <c r="B544" s="3"/>
      <c r="C544" s="9"/>
      <c r="D544" s="3"/>
      <c r="E544" s="3"/>
      <c r="F544" s="53"/>
      <c r="G544" s="53"/>
      <c r="H544" s="53"/>
      <c r="I544" s="54"/>
      <c r="J544" s="53"/>
      <c r="K544" s="53"/>
      <c r="L544" s="53"/>
      <c r="M544" s="53"/>
      <c r="N544" s="54"/>
      <c r="O544" s="53"/>
      <c r="P544" s="53"/>
    </row>
    <row r="545" spans="1:16">
      <c r="A545" s="53"/>
      <c r="B545" s="3"/>
      <c r="C545" s="9"/>
      <c r="D545" s="3"/>
      <c r="E545" s="3"/>
      <c r="F545" s="53"/>
      <c r="G545" s="53"/>
      <c r="H545" s="53"/>
      <c r="I545" s="54"/>
      <c r="J545" s="53"/>
      <c r="K545" s="53"/>
      <c r="L545" s="53"/>
      <c r="M545" s="53"/>
      <c r="N545" s="54"/>
      <c r="O545" s="53"/>
      <c r="P545" s="53"/>
    </row>
    <row r="546" spans="1:16">
      <c r="A546" s="53"/>
      <c r="B546" s="3"/>
      <c r="C546" s="9"/>
      <c r="D546" s="3"/>
      <c r="E546" s="3"/>
      <c r="F546" s="53"/>
      <c r="G546" s="53"/>
      <c r="H546" s="53"/>
      <c r="I546" s="54"/>
      <c r="J546" s="53"/>
      <c r="K546" s="53"/>
      <c r="L546" s="53"/>
      <c r="M546" s="53"/>
      <c r="N546" s="54"/>
      <c r="O546" s="53"/>
      <c r="P546" s="53"/>
    </row>
    <row r="547" spans="1:16">
      <c r="A547" s="53"/>
      <c r="B547" s="3"/>
      <c r="C547" s="9"/>
      <c r="D547" s="3"/>
      <c r="E547" s="3"/>
      <c r="F547" s="53"/>
      <c r="G547" s="53"/>
      <c r="H547" s="53"/>
      <c r="I547" s="54"/>
      <c r="J547" s="53"/>
      <c r="K547" s="53"/>
      <c r="L547" s="53"/>
      <c r="M547" s="53"/>
      <c r="N547" s="54"/>
      <c r="O547" s="53"/>
      <c r="P547" s="53"/>
    </row>
    <row r="548" spans="1:16">
      <c r="A548" s="53"/>
      <c r="B548" s="3"/>
      <c r="C548" s="9"/>
      <c r="D548" s="3"/>
      <c r="E548" s="3"/>
      <c r="F548" s="53"/>
      <c r="G548" s="53"/>
      <c r="H548" s="53"/>
      <c r="I548" s="54"/>
      <c r="J548" s="53"/>
      <c r="K548" s="53"/>
      <c r="L548" s="53"/>
      <c r="M548" s="53"/>
      <c r="N548" s="54"/>
      <c r="O548" s="53"/>
      <c r="P548" s="53"/>
    </row>
    <row r="549" spans="1:16">
      <c r="A549" s="53"/>
      <c r="B549" s="3"/>
      <c r="C549" s="9"/>
      <c r="D549" s="3"/>
      <c r="E549" s="3"/>
      <c r="F549" s="53"/>
      <c r="G549" s="53"/>
      <c r="H549" s="53"/>
      <c r="I549" s="54"/>
      <c r="J549" s="53"/>
      <c r="K549" s="53"/>
      <c r="L549" s="53"/>
      <c r="M549" s="53"/>
      <c r="N549" s="54"/>
      <c r="O549" s="53"/>
      <c r="P549" s="53"/>
    </row>
    <row r="550" spans="1:16">
      <c r="A550" s="53"/>
      <c r="B550" s="3"/>
      <c r="C550" s="9"/>
      <c r="D550" s="3"/>
      <c r="E550" s="3"/>
      <c r="F550" s="53"/>
      <c r="G550" s="53"/>
      <c r="H550" s="53"/>
      <c r="I550" s="54"/>
      <c r="J550" s="53"/>
      <c r="K550" s="53"/>
      <c r="L550" s="53"/>
      <c r="M550" s="53"/>
      <c r="N550" s="54"/>
      <c r="O550" s="53"/>
      <c r="P550" s="53"/>
    </row>
    <row r="551" spans="1:16">
      <c r="A551" s="53"/>
      <c r="B551" s="3"/>
      <c r="C551" s="9"/>
      <c r="D551" s="3"/>
      <c r="E551" s="3"/>
      <c r="F551" s="53"/>
      <c r="G551" s="53"/>
      <c r="H551" s="53"/>
      <c r="I551" s="54"/>
      <c r="J551" s="53"/>
      <c r="K551" s="53"/>
      <c r="L551" s="53"/>
      <c r="M551" s="53"/>
      <c r="N551" s="54"/>
      <c r="O551" s="53"/>
      <c r="P551" s="53"/>
    </row>
    <row r="552" spans="1:16">
      <c r="A552" s="53"/>
      <c r="B552" s="3"/>
      <c r="C552" s="9"/>
      <c r="D552" s="3"/>
      <c r="E552" s="3"/>
      <c r="F552" s="53"/>
      <c r="G552" s="53"/>
      <c r="H552" s="53"/>
      <c r="I552" s="54"/>
      <c r="J552" s="53"/>
      <c r="K552" s="53"/>
      <c r="L552" s="53"/>
      <c r="M552" s="53"/>
      <c r="N552" s="54"/>
      <c r="O552" s="53"/>
      <c r="P552" s="53"/>
    </row>
    <row r="553" spans="1:16">
      <c r="A553" s="53"/>
      <c r="B553" s="3"/>
      <c r="C553" s="9"/>
      <c r="D553" s="3"/>
      <c r="E553" s="3"/>
      <c r="F553" s="53"/>
      <c r="G553" s="53"/>
      <c r="H553" s="53"/>
      <c r="I553" s="54"/>
      <c r="J553" s="53"/>
      <c r="K553" s="53"/>
      <c r="L553" s="53"/>
      <c r="M553" s="53"/>
      <c r="N553" s="54"/>
      <c r="O553" s="53"/>
      <c r="P553" s="53"/>
    </row>
    <row r="554" spans="1:16">
      <c r="A554" s="53"/>
      <c r="B554" s="3"/>
      <c r="C554" s="9"/>
      <c r="D554" s="3"/>
      <c r="E554" s="3"/>
      <c r="F554" s="53"/>
      <c r="G554" s="53"/>
      <c r="H554" s="53"/>
      <c r="I554" s="54"/>
      <c r="J554" s="53"/>
      <c r="K554" s="53"/>
      <c r="L554" s="53"/>
      <c r="M554" s="53"/>
      <c r="N554" s="54"/>
      <c r="O554" s="53"/>
      <c r="P554" s="53"/>
    </row>
    <row r="555" spans="1:16">
      <c r="A555" s="53"/>
      <c r="B555" s="3"/>
      <c r="C555" s="9"/>
      <c r="D555" s="3"/>
      <c r="E555" s="3"/>
      <c r="F555" s="53"/>
      <c r="G555" s="53"/>
      <c r="H555" s="53"/>
      <c r="I555" s="54"/>
      <c r="J555" s="53"/>
      <c r="K555" s="53"/>
      <c r="L555" s="53"/>
      <c r="M555" s="53"/>
      <c r="N555" s="54"/>
      <c r="O555" s="53"/>
      <c r="P555" s="53"/>
    </row>
    <row r="556" spans="1:16">
      <c r="A556" s="53"/>
      <c r="B556" s="3"/>
      <c r="C556" s="9"/>
      <c r="D556" s="3"/>
      <c r="E556" s="3"/>
      <c r="F556" s="53"/>
      <c r="G556" s="53"/>
      <c r="H556" s="53"/>
      <c r="I556" s="54"/>
      <c r="J556" s="53"/>
      <c r="K556" s="53"/>
      <c r="L556" s="53"/>
      <c r="M556" s="53"/>
      <c r="N556" s="54"/>
      <c r="O556" s="53"/>
      <c r="P556" s="53"/>
    </row>
    <row r="557" spans="1:16">
      <c r="A557" s="53"/>
      <c r="B557" s="3"/>
      <c r="C557" s="9"/>
      <c r="D557" s="3"/>
      <c r="E557" s="3"/>
      <c r="F557" s="53"/>
      <c r="G557" s="53"/>
      <c r="H557" s="53"/>
      <c r="I557" s="54"/>
      <c r="J557" s="53"/>
      <c r="K557" s="53"/>
      <c r="L557" s="53"/>
      <c r="M557" s="53"/>
      <c r="N557" s="54"/>
      <c r="O557" s="53"/>
      <c r="P557" s="53"/>
    </row>
    <row r="558" spans="1:16">
      <c r="A558" s="53"/>
      <c r="B558" s="3"/>
      <c r="C558" s="9"/>
      <c r="D558" s="3"/>
      <c r="E558" s="3"/>
      <c r="F558" s="53"/>
      <c r="G558" s="53"/>
      <c r="H558" s="53"/>
      <c r="I558" s="54"/>
      <c r="J558" s="53"/>
      <c r="K558" s="53"/>
      <c r="L558" s="53"/>
      <c r="M558" s="53"/>
      <c r="N558" s="54"/>
      <c r="O558" s="53"/>
      <c r="P558" s="53"/>
    </row>
    <row r="559" spans="1:16">
      <c r="A559" s="53"/>
      <c r="B559" s="3"/>
      <c r="C559" s="9"/>
      <c r="D559" s="3"/>
      <c r="E559" s="3"/>
      <c r="F559" s="53"/>
      <c r="G559" s="53"/>
      <c r="H559" s="53"/>
      <c r="I559" s="54"/>
      <c r="J559" s="53"/>
      <c r="K559" s="53"/>
      <c r="L559" s="53"/>
      <c r="M559" s="53"/>
      <c r="N559" s="54"/>
      <c r="O559" s="53"/>
      <c r="P559" s="53"/>
    </row>
    <row r="560" spans="1:16">
      <c r="A560" s="53"/>
      <c r="B560" s="3"/>
      <c r="C560" s="9"/>
      <c r="D560" s="3"/>
      <c r="E560" s="3"/>
      <c r="F560" s="53"/>
      <c r="G560" s="53"/>
      <c r="H560" s="53"/>
      <c r="I560" s="54"/>
      <c r="J560" s="53"/>
      <c r="K560" s="53"/>
      <c r="L560" s="53"/>
      <c r="M560" s="53"/>
      <c r="N560" s="54"/>
      <c r="O560" s="53"/>
      <c r="P560" s="53"/>
    </row>
    <row r="561" spans="1:16">
      <c r="A561" s="53"/>
      <c r="B561" s="3"/>
      <c r="C561" s="9"/>
      <c r="D561" s="3"/>
      <c r="E561" s="3"/>
      <c r="F561" s="53"/>
      <c r="G561" s="53"/>
      <c r="H561" s="53"/>
      <c r="I561" s="54"/>
      <c r="J561" s="53"/>
      <c r="K561" s="53"/>
      <c r="L561" s="53"/>
      <c r="M561" s="53"/>
      <c r="N561" s="54"/>
      <c r="O561" s="53"/>
      <c r="P561" s="53"/>
    </row>
    <row r="562" spans="1:16">
      <c r="A562" s="53"/>
      <c r="B562" s="3"/>
      <c r="C562" s="9"/>
      <c r="D562" s="3"/>
      <c r="E562" s="3"/>
      <c r="F562" s="53"/>
      <c r="G562" s="53"/>
      <c r="H562" s="53"/>
      <c r="I562" s="54"/>
      <c r="J562" s="53"/>
      <c r="K562" s="53"/>
      <c r="L562" s="53"/>
      <c r="M562" s="53"/>
      <c r="N562" s="54"/>
      <c r="O562" s="53"/>
      <c r="P562" s="53"/>
    </row>
    <row r="563" spans="1:16">
      <c r="A563" s="53"/>
      <c r="B563" s="3"/>
      <c r="C563" s="9"/>
      <c r="D563" s="3"/>
      <c r="E563" s="3"/>
      <c r="F563" s="53"/>
      <c r="G563" s="53"/>
      <c r="H563" s="53"/>
      <c r="I563" s="54"/>
      <c r="J563" s="53"/>
      <c r="K563" s="53"/>
      <c r="L563" s="53"/>
      <c r="M563" s="53"/>
      <c r="N563" s="54"/>
      <c r="O563" s="53"/>
      <c r="P563" s="53"/>
    </row>
    <row r="564" spans="1:16">
      <c r="A564" s="53"/>
      <c r="B564" s="3"/>
      <c r="C564" s="9"/>
      <c r="D564" s="3"/>
      <c r="E564" s="3"/>
      <c r="F564" s="53"/>
      <c r="G564" s="53"/>
      <c r="H564" s="53"/>
      <c r="I564" s="54"/>
      <c r="J564" s="53"/>
      <c r="K564" s="53"/>
      <c r="L564" s="53"/>
      <c r="M564" s="53"/>
      <c r="N564" s="54"/>
      <c r="O564" s="53"/>
      <c r="P564" s="53"/>
    </row>
    <row r="565" spans="1:16">
      <c r="A565" s="53"/>
      <c r="B565" s="3"/>
      <c r="C565" s="9"/>
      <c r="D565" s="3"/>
      <c r="E565" s="3"/>
      <c r="F565" s="53"/>
      <c r="G565" s="53"/>
      <c r="H565" s="53"/>
      <c r="I565" s="54"/>
      <c r="J565" s="53"/>
      <c r="K565" s="53"/>
      <c r="L565" s="53"/>
      <c r="M565" s="53"/>
      <c r="N565" s="54"/>
      <c r="O565" s="53"/>
      <c r="P565" s="53"/>
    </row>
    <row r="566" spans="1:16">
      <c r="A566" s="53"/>
      <c r="B566" s="3"/>
      <c r="C566" s="9"/>
      <c r="D566" s="3"/>
      <c r="E566" s="3"/>
      <c r="F566" s="53"/>
      <c r="G566" s="53"/>
      <c r="H566" s="53"/>
      <c r="I566" s="54"/>
      <c r="J566" s="53"/>
      <c r="K566" s="53"/>
      <c r="L566" s="53"/>
      <c r="M566" s="53"/>
      <c r="N566" s="54"/>
      <c r="O566" s="53"/>
      <c r="P566" s="53"/>
    </row>
    <row r="567" spans="1:16">
      <c r="A567" s="53"/>
      <c r="B567" s="3"/>
      <c r="C567" s="9"/>
      <c r="D567" s="3"/>
      <c r="E567" s="3"/>
      <c r="F567" s="53"/>
      <c r="G567" s="53"/>
      <c r="H567" s="53"/>
      <c r="I567" s="54"/>
      <c r="J567" s="53"/>
      <c r="K567" s="53"/>
      <c r="L567" s="53"/>
      <c r="M567" s="53"/>
      <c r="N567" s="54"/>
      <c r="O567" s="53"/>
      <c r="P567" s="53"/>
    </row>
    <row r="568" spans="1:16">
      <c r="A568" s="53"/>
      <c r="B568" s="3"/>
      <c r="C568" s="9"/>
      <c r="D568" s="3"/>
      <c r="E568" s="3"/>
      <c r="F568" s="53"/>
      <c r="G568" s="53"/>
      <c r="H568" s="53"/>
      <c r="I568" s="54"/>
      <c r="J568" s="53"/>
      <c r="K568" s="53"/>
      <c r="L568" s="53"/>
      <c r="M568" s="53"/>
      <c r="N568" s="54"/>
      <c r="O568" s="53"/>
      <c r="P568" s="53"/>
    </row>
    <row r="569" spans="1:16">
      <c r="A569" s="53"/>
      <c r="B569" s="3"/>
      <c r="C569" s="9"/>
      <c r="D569" s="3"/>
      <c r="E569" s="3"/>
      <c r="F569" s="53"/>
      <c r="G569" s="53"/>
      <c r="H569" s="53"/>
      <c r="I569" s="54"/>
      <c r="J569" s="53"/>
      <c r="K569" s="53"/>
      <c r="L569" s="53"/>
      <c r="M569" s="53"/>
      <c r="N569" s="54"/>
      <c r="O569" s="53"/>
      <c r="P569" s="53"/>
    </row>
    <row r="570" spans="1:16">
      <c r="A570" s="53"/>
      <c r="B570" s="3"/>
      <c r="C570" s="9"/>
      <c r="D570" s="3"/>
      <c r="E570" s="3"/>
      <c r="F570" s="53"/>
      <c r="G570" s="53"/>
      <c r="H570" s="53"/>
      <c r="I570" s="54"/>
      <c r="J570" s="53"/>
      <c r="K570" s="53"/>
      <c r="L570" s="53"/>
      <c r="M570" s="53"/>
      <c r="N570" s="54"/>
      <c r="O570" s="53"/>
      <c r="P570" s="53"/>
    </row>
    <row r="571" spans="1:16">
      <c r="A571" s="53"/>
      <c r="B571" s="3"/>
      <c r="C571" s="9"/>
      <c r="D571" s="3"/>
      <c r="E571" s="3"/>
      <c r="F571" s="53"/>
      <c r="G571" s="53"/>
      <c r="H571" s="53"/>
      <c r="I571" s="54"/>
      <c r="J571" s="53"/>
      <c r="K571" s="53"/>
      <c r="L571" s="53"/>
      <c r="M571" s="53"/>
      <c r="N571" s="54"/>
      <c r="O571" s="53"/>
      <c r="P571" s="53"/>
    </row>
    <row r="572" spans="1:16">
      <c r="A572" s="53"/>
      <c r="B572" s="3"/>
      <c r="C572" s="9"/>
      <c r="D572" s="3"/>
      <c r="E572" s="3"/>
      <c r="F572" s="53"/>
      <c r="G572" s="53"/>
      <c r="H572" s="53"/>
      <c r="I572" s="54"/>
      <c r="J572" s="53"/>
      <c r="K572" s="53"/>
      <c r="L572" s="53"/>
      <c r="M572" s="53"/>
      <c r="N572" s="54"/>
      <c r="O572" s="53"/>
      <c r="P572" s="53"/>
    </row>
    <row r="573" spans="1:16">
      <c r="A573" s="53"/>
      <c r="B573" s="3"/>
      <c r="C573" s="9"/>
      <c r="D573" s="3"/>
      <c r="E573" s="3"/>
      <c r="F573" s="53"/>
      <c r="G573" s="53"/>
      <c r="H573" s="53"/>
      <c r="I573" s="54"/>
      <c r="J573" s="53"/>
      <c r="K573" s="53"/>
      <c r="L573" s="53"/>
      <c r="M573" s="53"/>
      <c r="N573" s="54"/>
      <c r="O573" s="53"/>
      <c r="P573" s="53"/>
    </row>
    <row r="574" spans="1:16">
      <c r="A574" s="53"/>
      <c r="B574" s="3"/>
      <c r="C574" s="9"/>
      <c r="D574" s="3"/>
      <c r="E574" s="3"/>
      <c r="F574" s="53"/>
      <c r="G574" s="53"/>
      <c r="H574" s="53"/>
      <c r="I574" s="54"/>
      <c r="J574" s="53"/>
      <c r="K574" s="53"/>
      <c r="L574" s="53"/>
      <c r="M574" s="53"/>
      <c r="N574" s="54"/>
      <c r="O574" s="53"/>
      <c r="P574" s="53"/>
    </row>
    <row r="575" spans="1:16">
      <c r="A575" s="53"/>
      <c r="B575" s="3"/>
      <c r="C575" s="9"/>
      <c r="D575" s="3"/>
      <c r="E575" s="3"/>
      <c r="F575" s="53"/>
      <c r="G575" s="53"/>
      <c r="H575" s="53"/>
      <c r="I575" s="54"/>
      <c r="J575" s="53"/>
      <c r="K575" s="53"/>
      <c r="L575" s="53"/>
      <c r="M575" s="53"/>
      <c r="N575" s="54"/>
      <c r="O575" s="53"/>
      <c r="P575" s="53"/>
    </row>
    <row r="576" spans="1:16">
      <c r="A576" s="53"/>
      <c r="B576" s="3"/>
      <c r="C576" s="9"/>
      <c r="D576" s="3"/>
      <c r="E576" s="3"/>
      <c r="F576" s="53"/>
      <c r="G576" s="53"/>
      <c r="H576" s="53"/>
      <c r="I576" s="54"/>
      <c r="J576" s="53"/>
      <c r="K576" s="53"/>
      <c r="L576" s="53"/>
      <c r="M576" s="53"/>
      <c r="N576" s="54"/>
      <c r="O576" s="53"/>
      <c r="P576" s="53"/>
    </row>
    <row r="577" spans="1:16">
      <c r="A577" s="53"/>
      <c r="B577" s="3"/>
      <c r="C577" s="9"/>
      <c r="D577" s="3"/>
      <c r="E577" s="3"/>
      <c r="F577" s="53"/>
      <c r="G577" s="53"/>
      <c r="H577" s="53"/>
      <c r="I577" s="54"/>
      <c r="J577" s="53"/>
      <c r="K577" s="53"/>
      <c r="L577" s="53"/>
      <c r="M577" s="53"/>
      <c r="N577" s="54"/>
      <c r="O577" s="53"/>
      <c r="P577" s="53"/>
    </row>
    <row r="578" spans="1:16">
      <c r="A578" s="53"/>
      <c r="B578" s="3"/>
      <c r="C578" s="9"/>
      <c r="D578" s="3"/>
      <c r="E578" s="3"/>
      <c r="F578" s="53"/>
      <c r="G578" s="53"/>
      <c r="H578" s="53"/>
      <c r="I578" s="54"/>
      <c r="J578" s="53"/>
      <c r="K578" s="53"/>
      <c r="L578" s="53"/>
      <c r="M578" s="53"/>
      <c r="N578" s="54"/>
      <c r="O578" s="53"/>
      <c r="P578" s="53"/>
    </row>
    <row r="579" spans="1:16">
      <c r="A579" s="53"/>
      <c r="B579" s="3"/>
      <c r="C579" s="9"/>
      <c r="D579" s="3"/>
      <c r="E579" s="3"/>
      <c r="F579" s="53"/>
      <c r="G579" s="53"/>
      <c r="H579" s="53"/>
      <c r="I579" s="54"/>
      <c r="J579" s="53"/>
      <c r="K579" s="53"/>
      <c r="L579" s="53"/>
      <c r="M579" s="53"/>
      <c r="N579" s="54"/>
      <c r="O579" s="53"/>
      <c r="P579" s="53"/>
    </row>
    <row r="580" spans="1:16">
      <c r="A580" s="53"/>
      <c r="B580" s="3"/>
      <c r="C580" s="9"/>
      <c r="D580" s="3"/>
      <c r="E580" s="3"/>
      <c r="F580" s="53"/>
      <c r="G580" s="53"/>
      <c r="H580" s="53"/>
      <c r="I580" s="54"/>
      <c r="J580" s="53"/>
      <c r="K580" s="53"/>
      <c r="L580" s="53"/>
      <c r="M580" s="53"/>
      <c r="N580" s="54"/>
      <c r="O580" s="53"/>
      <c r="P580" s="53"/>
    </row>
    <row r="581" spans="1:16">
      <c r="A581" s="53"/>
      <c r="B581" s="3"/>
      <c r="C581" s="9"/>
      <c r="D581" s="3"/>
      <c r="E581" s="3"/>
      <c r="F581" s="53"/>
      <c r="G581" s="53"/>
      <c r="H581" s="53"/>
      <c r="I581" s="54"/>
      <c r="J581" s="53"/>
      <c r="K581" s="53"/>
      <c r="L581" s="53"/>
      <c r="M581" s="53"/>
      <c r="N581" s="54"/>
      <c r="O581" s="53"/>
      <c r="P581" s="53"/>
    </row>
    <row r="582" spans="1:16">
      <c r="A582" s="53"/>
      <c r="B582" s="3"/>
      <c r="C582" s="9"/>
      <c r="D582" s="3"/>
      <c r="E582" s="3"/>
      <c r="F582" s="53"/>
      <c r="G582" s="53"/>
      <c r="H582" s="53"/>
      <c r="I582" s="54"/>
      <c r="J582" s="53"/>
      <c r="K582" s="53"/>
      <c r="L582" s="53"/>
      <c r="M582" s="53"/>
      <c r="N582" s="54"/>
      <c r="O582" s="53"/>
      <c r="P582" s="53"/>
    </row>
    <row r="583" spans="1:16">
      <c r="A583" s="53"/>
      <c r="B583" s="3"/>
      <c r="C583" s="9"/>
      <c r="D583" s="3"/>
      <c r="E583" s="3"/>
      <c r="F583" s="53"/>
      <c r="G583" s="53"/>
      <c r="H583" s="53"/>
      <c r="I583" s="54"/>
      <c r="J583" s="53"/>
      <c r="K583" s="53"/>
      <c r="L583" s="53"/>
      <c r="M583" s="53"/>
      <c r="N583" s="54"/>
      <c r="O583" s="53"/>
      <c r="P583" s="53"/>
    </row>
    <row r="584" spans="1:16">
      <c r="A584" s="53"/>
      <c r="B584" s="3"/>
      <c r="C584" s="9"/>
      <c r="D584" s="3"/>
      <c r="E584" s="3"/>
      <c r="F584" s="53"/>
      <c r="G584" s="53"/>
      <c r="H584" s="53"/>
      <c r="I584" s="54"/>
      <c r="J584" s="53"/>
      <c r="K584" s="53"/>
      <c r="L584" s="53"/>
      <c r="M584" s="53"/>
      <c r="N584" s="54"/>
      <c r="O584" s="53"/>
      <c r="P584" s="53"/>
    </row>
    <row r="585" spans="1:16">
      <c r="A585" s="53"/>
      <c r="B585" s="3"/>
      <c r="C585" s="9"/>
      <c r="D585" s="3"/>
      <c r="E585" s="3"/>
      <c r="F585" s="53"/>
      <c r="G585" s="53"/>
      <c r="H585" s="53"/>
      <c r="I585" s="54"/>
      <c r="J585" s="53"/>
      <c r="K585" s="53"/>
      <c r="L585" s="53"/>
      <c r="M585" s="53"/>
      <c r="N585" s="54"/>
      <c r="O585" s="53"/>
      <c r="P585" s="53"/>
    </row>
    <row r="586" spans="1:16">
      <c r="A586" s="53"/>
      <c r="B586" s="3"/>
      <c r="C586" s="9"/>
      <c r="D586" s="3"/>
      <c r="E586" s="3"/>
      <c r="F586" s="53"/>
      <c r="G586" s="53"/>
      <c r="H586" s="53"/>
      <c r="I586" s="54"/>
      <c r="J586" s="53"/>
      <c r="K586" s="53"/>
      <c r="L586" s="53"/>
      <c r="M586" s="53"/>
      <c r="N586" s="54"/>
      <c r="O586" s="53"/>
      <c r="P586" s="53"/>
    </row>
    <row r="587" spans="1:16">
      <c r="A587" s="53"/>
      <c r="B587" s="3"/>
      <c r="C587" s="9"/>
      <c r="D587" s="3"/>
      <c r="E587" s="3"/>
      <c r="F587" s="53"/>
      <c r="G587" s="53"/>
      <c r="H587" s="53"/>
      <c r="I587" s="54"/>
      <c r="J587" s="53"/>
      <c r="K587" s="53"/>
      <c r="L587" s="53"/>
      <c r="M587" s="53"/>
      <c r="N587" s="54"/>
      <c r="O587" s="53"/>
      <c r="P587" s="53"/>
    </row>
    <row r="588" spans="1:16">
      <c r="A588" s="53"/>
      <c r="B588" s="3"/>
      <c r="C588" s="9"/>
      <c r="D588" s="3"/>
      <c r="E588" s="3"/>
      <c r="F588" s="53"/>
      <c r="G588" s="53"/>
      <c r="H588" s="53"/>
      <c r="I588" s="54"/>
      <c r="J588" s="53"/>
      <c r="K588" s="53"/>
      <c r="L588" s="53"/>
      <c r="M588" s="53"/>
      <c r="N588" s="54"/>
      <c r="O588" s="53"/>
      <c r="P588" s="53"/>
    </row>
    <row r="589" spans="1:16">
      <c r="A589" s="53"/>
      <c r="B589" s="3"/>
      <c r="C589" s="9"/>
      <c r="D589" s="3"/>
      <c r="E589" s="3"/>
      <c r="F589" s="53"/>
      <c r="G589" s="53"/>
      <c r="H589" s="53"/>
      <c r="I589" s="54"/>
      <c r="J589" s="53"/>
      <c r="K589" s="53"/>
      <c r="L589" s="53"/>
      <c r="M589" s="53"/>
      <c r="N589" s="54"/>
      <c r="O589" s="53"/>
      <c r="P589" s="53"/>
    </row>
    <row r="590" spans="1:16">
      <c r="A590" s="53"/>
      <c r="B590" s="3"/>
      <c r="C590" s="9"/>
      <c r="D590" s="3"/>
      <c r="E590" s="3"/>
      <c r="F590" s="53"/>
      <c r="G590" s="53"/>
      <c r="H590" s="53"/>
      <c r="I590" s="54"/>
      <c r="J590" s="53"/>
      <c r="K590" s="53"/>
      <c r="L590" s="53"/>
      <c r="M590" s="53"/>
      <c r="N590" s="54"/>
      <c r="O590" s="53"/>
      <c r="P590" s="53"/>
    </row>
    <row r="591" spans="1:16">
      <c r="A591" s="53"/>
      <c r="B591" s="3"/>
      <c r="C591" s="9"/>
      <c r="D591" s="3"/>
      <c r="E591" s="3"/>
      <c r="F591" s="53"/>
      <c r="G591" s="53"/>
      <c r="H591" s="53"/>
      <c r="I591" s="54"/>
      <c r="J591" s="53"/>
      <c r="K591" s="53"/>
      <c r="L591" s="53"/>
      <c r="M591" s="53"/>
      <c r="N591" s="54"/>
      <c r="O591" s="53"/>
      <c r="P591" s="53"/>
    </row>
    <row r="592" spans="1:16">
      <c r="A592" s="53"/>
      <c r="B592" s="3"/>
      <c r="C592" s="9"/>
      <c r="D592" s="3"/>
      <c r="E592" s="3"/>
      <c r="F592" s="53"/>
      <c r="G592" s="53"/>
      <c r="H592" s="53"/>
      <c r="I592" s="54"/>
      <c r="J592" s="53"/>
      <c r="K592" s="53"/>
      <c r="L592" s="53"/>
      <c r="M592" s="53"/>
      <c r="N592" s="54"/>
      <c r="O592" s="53"/>
      <c r="P592" s="53"/>
    </row>
    <row r="593" spans="1:16">
      <c r="A593" s="53"/>
      <c r="B593" s="3"/>
      <c r="C593" s="9"/>
      <c r="D593" s="3"/>
      <c r="E593" s="3"/>
      <c r="F593" s="53"/>
      <c r="G593" s="53"/>
      <c r="H593" s="53"/>
      <c r="I593" s="54"/>
      <c r="J593" s="53"/>
      <c r="K593" s="53"/>
      <c r="L593" s="53"/>
      <c r="M593" s="53"/>
      <c r="N593" s="54"/>
      <c r="O593" s="53"/>
      <c r="P593" s="53"/>
    </row>
    <row r="594" spans="1:16">
      <c r="A594" s="53"/>
      <c r="B594" s="3"/>
      <c r="C594" s="9"/>
      <c r="D594" s="3"/>
      <c r="E594" s="3"/>
      <c r="F594" s="53"/>
      <c r="G594" s="53"/>
      <c r="H594" s="53"/>
      <c r="I594" s="54"/>
      <c r="J594" s="53"/>
      <c r="K594" s="53"/>
      <c r="L594" s="53"/>
      <c r="M594" s="53"/>
      <c r="N594" s="54"/>
      <c r="O594" s="53"/>
      <c r="P594" s="53"/>
    </row>
    <row r="595" spans="1:16">
      <c r="A595" s="53"/>
      <c r="B595" s="3"/>
      <c r="C595" s="9"/>
      <c r="D595" s="3"/>
      <c r="E595" s="3"/>
      <c r="F595" s="53"/>
      <c r="G595" s="53"/>
      <c r="H595" s="53"/>
      <c r="I595" s="54"/>
      <c r="J595" s="53"/>
      <c r="K595" s="53"/>
      <c r="L595" s="53"/>
      <c r="M595" s="53"/>
      <c r="N595" s="54"/>
      <c r="O595" s="53"/>
      <c r="P595" s="53"/>
    </row>
    <row r="596" spans="1:16">
      <c r="A596" s="53"/>
      <c r="B596" s="3"/>
      <c r="C596" s="9"/>
      <c r="D596" s="3"/>
      <c r="E596" s="3"/>
      <c r="F596" s="53"/>
      <c r="G596" s="53"/>
      <c r="H596" s="53"/>
      <c r="I596" s="54"/>
      <c r="J596" s="53"/>
      <c r="K596" s="53"/>
      <c r="L596" s="53"/>
      <c r="M596" s="53"/>
      <c r="N596" s="54"/>
      <c r="O596" s="53"/>
      <c r="P596" s="53"/>
    </row>
    <row r="597" spans="1:16">
      <c r="A597" s="53"/>
      <c r="B597" s="3"/>
      <c r="C597" s="9"/>
      <c r="D597" s="3"/>
      <c r="E597" s="3"/>
      <c r="F597" s="53"/>
      <c r="G597" s="53"/>
      <c r="H597" s="53"/>
      <c r="I597" s="54"/>
      <c r="J597" s="53"/>
      <c r="K597" s="53"/>
      <c r="L597" s="53"/>
      <c r="M597" s="53"/>
      <c r="N597" s="54"/>
      <c r="O597" s="53"/>
      <c r="P597" s="53"/>
    </row>
    <row r="598" spans="1:16">
      <c r="A598" s="53"/>
      <c r="B598" s="3"/>
      <c r="C598" s="9"/>
      <c r="D598" s="3"/>
      <c r="E598" s="3"/>
      <c r="F598" s="53"/>
      <c r="G598" s="53"/>
      <c r="H598" s="53"/>
      <c r="I598" s="54"/>
      <c r="J598" s="53"/>
      <c r="K598" s="53"/>
      <c r="L598" s="53"/>
      <c r="M598" s="53"/>
      <c r="N598" s="54"/>
      <c r="O598" s="53"/>
      <c r="P598" s="53"/>
    </row>
    <row r="599" spans="1:16">
      <c r="A599" s="53"/>
      <c r="B599" s="3"/>
      <c r="C599" s="9"/>
      <c r="D599" s="3"/>
      <c r="E599" s="3"/>
      <c r="F599" s="53"/>
      <c r="G599" s="53"/>
      <c r="H599" s="53"/>
      <c r="I599" s="54"/>
      <c r="J599" s="53"/>
      <c r="K599" s="53"/>
      <c r="L599" s="53"/>
      <c r="M599" s="53"/>
      <c r="N599" s="54"/>
      <c r="O599" s="53"/>
      <c r="P599" s="53"/>
    </row>
    <row r="600" spans="1:16">
      <c r="A600" s="53"/>
      <c r="B600" s="3"/>
      <c r="C600" s="9"/>
      <c r="D600" s="3"/>
      <c r="E600" s="3"/>
      <c r="F600" s="53"/>
      <c r="G600" s="53"/>
      <c r="H600" s="53"/>
      <c r="I600" s="54"/>
      <c r="J600" s="53"/>
      <c r="K600" s="53"/>
      <c r="L600" s="53"/>
      <c r="M600" s="53"/>
      <c r="N600" s="54"/>
      <c r="O600" s="53"/>
      <c r="P600" s="53"/>
    </row>
    <row r="601" spans="1:16">
      <c r="A601" s="53"/>
      <c r="B601" s="3"/>
      <c r="C601" s="9"/>
      <c r="D601" s="3"/>
      <c r="E601" s="3"/>
      <c r="F601" s="53"/>
      <c r="G601" s="53"/>
      <c r="H601" s="53"/>
      <c r="I601" s="54"/>
      <c r="J601" s="53"/>
      <c r="K601" s="53"/>
      <c r="L601" s="53"/>
      <c r="M601" s="53"/>
      <c r="N601" s="54"/>
      <c r="O601" s="53"/>
      <c r="P601" s="53"/>
    </row>
    <row r="602" spans="1:16">
      <c r="A602" s="53"/>
      <c r="B602" s="3"/>
      <c r="C602" s="9"/>
      <c r="D602" s="3"/>
      <c r="E602" s="3"/>
      <c r="F602" s="53"/>
      <c r="G602" s="53"/>
      <c r="H602" s="53"/>
      <c r="I602" s="54"/>
      <c r="J602" s="53"/>
      <c r="K602" s="53"/>
      <c r="L602" s="53"/>
      <c r="M602" s="53"/>
      <c r="N602" s="54"/>
      <c r="O602" s="53"/>
      <c r="P602" s="53"/>
    </row>
    <row r="603" spans="1:16">
      <c r="A603" s="53"/>
      <c r="B603" s="3"/>
      <c r="C603" s="9"/>
      <c r="D603" s="3"/>
      <c r="E603" s="3"/>
      <c r="F603" s="53"/>
      <c r="G603" s="53"/>
      <c r="H603" s="53"/>
      <c r="I603" s="54"/>
      <c r="J603" s="53"/>
      <c r="K603" s="53"/>
      <c r="L603" s="53"/>
      <c r="M603" s="53"/>
      <c r="N603" s="54"/>
      <c r="O603" s="53"/>
      <c r="P603" s="53"/>
    </row>
    <row r="604" spans="1:16">
      <c r="A604" s="53"/>
      <c r="B604" s="3"/>
      <c r="C604" s="9"/>
      <c r="D604" s="3"/>
      <c r="E604" s="3"/>
      <c r="F604" s="53"/>
      <c r="G604" s="53"/>
      <c r="H604" s="53"/>
      <c r="I604" s="54"/>
      <c r="J604" s="53"/>
      <c r="K604" s="53"/>
      <c r="L604" s="53"/>
      <c r="M604" s="53"/>
      <c r="N604" s="54"/>
      <c r="O604" s="53"/>
      <c r="P604" s="53"/>
    </row>
    <row r="605" spans="1:16">
      <c r="A605" s="53"/>
      <c r="B605" s="3"/>
      <c r="C605" s="9"/>
      <c r="D605" s="3"/>
      <c r="E605" s="3"/>
      <c r="F605" s="53"/>
      <c r="G605" s="53"/>
      <c r="H605" s="53"/>
      <c r="I605" s="54"/>
      <c r="J605" s="53"/>
      <c r="K605" s="53"/>
      <c r="L605" s="53"/>
      <c r="M605" s="53"/>
      <c r="N605" s="54"/>
      <c r="O605" s="53"/>
      <c r="P605" s="53"/>
    </row>
    <row r="606" spans="1:16">
      <c r="A606" s="53"/>
      <c r="B606" s="3"/>
      <c r="C606" s="9"/>
      <c r="D606" s="3"/>
      <c r="E606" s="3"/>
      <c r="F606" s="53"/>
      <c r="G606" s="53"/>
      <c r="H606" s="53"/>
      <c r="I606" s="54"/>
      <c r="J606" s="53"/>
      <c r="K606" s="53"/>
      <c r="L606" s="53"/>
      <c r="M606" s="53"/>
      <c r="N606" s="54"/>
      <c r="O606" s="53"/>
      <c r="P606" s="53"/>
    </row>
    <row r="607" spans="1:16">
      <c r="A607" s="53"/>
      <c r="B607" s="3"/>
      <c r="C607" s="9"/>
      <c r="D607" s="3"/>
      <c r="E607" s="3"/>
      <c r="F607" s="53"/>
      <c r="G607" s="53"/>
      <c r="H607" s="53"/>
      <c r="I607" s="54"/>
      <c r="J607" s="53"/>
      <c r="K607" s="53"/>
      <c r="L607" s="53"/>
      <c r="M607" s="53"/>
      <c r="N607" s="54"/>
      <c r="O607" s="53"/>
      <c r="P607" s="53"/>
    </row>
    <row r="608" spans="1:16">
      <c r="A608" s="53"/>
      <c r="B608" s="3"/>
      <c r="C608" s="9"/>
      <c r="D608" s="3"/>
      <c r="E608" s="3"/>
      <c r="F608" s="53"/>
      <c r="G608" s="53"/>
      <c r="H608" s="53"/>
      <c r="I608" s="54"/>
      <c r="J608" s="53"/>
      <c r="K608" s="53"/>
      <c r="L608" s="53"/>
      <c r="M608" s="53"/>
      <c r="N608" s="54"/>
      <c r="O608" s="53"/>
      <c r="P608" s="53"/>
    </row>
    <row r="609" spans="1:16">
      <c r="A609" s="53"/>
      <c r="B609" s="3"/>
      <c r="C609" s="9"/>
      <c r="D609" s="3"/>
      <c r="E609" s="3"/>
      <c r="F609" s="53"/>
      <c r="G609" s="53"/>
      <c r="H609" s="53"/>
      <c r="I609" s="54"/>
      <c r="J609" s="53"/>
      <c r="K609" s="53"/>
      <c r="L609" s="53"/>
      <c r="M609" s="53"/>
      <c r="N609" s="54"/>
      <c r="O609" s="53"/>
      <c r="P609" s="53"/>
    </row>
    <row r="610" spans="1:16">
      <c r="A610" s="53"/>
      <c r="B610" s="3"/>
      <c r="C610" s="9"/>
      <c r="D610" s="3"/>
      <c r="E610" s="3"/>
      <c r="F610" s="53"/>
      <c r="G610" s="53"/>
      <c r="H610" s="53"/>
      <c r="I610" s="54"/>
      <c r="J610" s="53"/>
      <c r="K610" s="53"/>
      <c r="L610" s="53"/>
      <c r="M610" s="53"/>
      <c r="N610" s="54"/>
      <c r="O610" s="53"/>
      <c r="P610" s="53"/>
    </row>
    <row r="611" spans="1:16">
      <c r="A611" s="53"/>
      <c r="B611" s="3"/>
      <c r="C611" s="9"/>
      <c r="D611" s="3"/>
      <c r="E611" s="3"/>
      <c r="F611" s="53"/>
      <c r="G611" s="53"/>
      <c r="H611" s="53"/>
      <c r="I611" s="54"/>
      <c r="J611" s="53"/>
      <c r="K611" s="53"/>
      <c r="L611" s="53"/>
      <c r="M611" s="53"/>
      <c r="N611" s="54"/>
      <c r="O611" s="53"/>
      <c r="P611" s="53"/>
    </row>
    <row r="612" spans="1:16">
      <c r="A612" s="53"/>
      <c r="B612" s="3"/>
      <c r="C612" s="9"/>
      <c r="D612" s="3"/>
      <c r="E612" s="3"/>
      <c r="F612" s="53"/>
      <c r="G612" s="53"/>
      <c r="H612" s="53"/>
      <c r="I612" s="54"/>
      <c r="J612" s="53"/>
      <c r="K612" s="53"/>
      <c r="L612" s="53"/>
      <c r="M612" s="53"/>
      <c r="N612" s="54"/>
      <c r="O612" s="53"/>
      <c r="P612" s="53"/>
    </row>
    <row r="613" spans="1:16">
      <c r="A613" s="53"/>
      <c r="B613" s="3"/>
      <c r="C613" s="9"/>
      <c r="D613" s="3"/>
      <c r="E613" s="3"/>
      <c r="F613" s="53"/>
      <c r="G613" s="53"/>
      <c r="H613" s="53"/>
      <c r="I613" s="54"/>
      <c r="J613" s="53"/>
      <c r="K613" s="53"/>
      <c r="L613" s="53"/>
      <c r="M613" s="53"/>
      <c r="N613" s="54"/>
      <c r="O613" s="53"/>
      <c r="P613" s="53"/>
    </row>
    <row r="614" spans="1:16">
      <c r="A614" s="53"/>
      <c r="B614" s="3"/>
      <c r="C614" s="9"/>
      <c r="D614" s="3"/>
      <c r="E614" s="3"/>
      <c r="F614" s="53"/>
      <c r="G614" s="53"/>
      <c r="H614" s="53"/>
      <c r="I614" s="54"/>
      <c r="J614" s="53"/>
      <c r="K614" s="53"/>
      <c r="L614" s="53"/>
      <c r="M614" s="53"/>
      <c r="N614" s="54"/>
      <c r="O614" s="53"/>
      <c r="P614" s="53"/>
    </row>
    <row r="615" spans="1:16">
      <c r="A615" s="53"/>
      <c r="B615" s="3"/>
      <c r="C615" s="9"/>
      <c r="D615" s="3"/>
      <c r="E615" s="3"/>
      <c r="F615" s="53"/>
      <c r="G615" s="53"/>
      <c r="H615" s="53"/>
      <c r="I615" s="54"/>
      <c r="J615" s="53"/>
      <c r="K615" s="53"/>
      <c r="L615" s="53"/>
      <c r="M615" s="53"/>
      <c r="N615" s="54"/>
      <c r="O615" s="53"/>
      <c r="P615" s="53"/>
    </row>
    <row r="616" spans="1:16">
      <c r="A616" s="53"/>
      <c r="B616" s="3"/>
      <c r="C616" s="9"/>
      <c r="D616" s="3"/>
      <c r="E616" s="3"/>
      <c r="F616" s="53"/>
      <c r="G616" s="53"/>
      <c r="H616" s="53"/>
      <c r="I616" s="54"/>
      <c r="J616" s="53"/>
      <c r="K616" s="53"/>
      <c r="L616" s="53"/>
      <c r="M616" s="53"/>
      <c r="N616" s="54"/>
      <c r="O616" s="53"/>
      <c r="P616" s="53"/>
    </row>
    <row r="617" spans="1:16">
      <c r="A617" s="53"/>
      <c r="B617" s="3"/>
      <c r="C617" s="9"/>
      <c r="D617" s="3"/>
      <c r="E617" s="3"/>
      <c r="F617" s="53"/>
      <c r="G617" s="53"/>
      <c r="H617" s="53"/>
      <c r="I617" s="54"/>
      <c r="J617" s="53"/>
      <c r="K617" s="53"/>
      <c r="L617" s="53"/>
      <c r="M617" s="53"/>
      <c r="N617" s="54"/>
      <c r="O617" s="53"/>
      <c r="P617" s="53"/>
    </row>
    <row r="618" spans="1:16">
      <c r="A618" s="53"/>
      <c r="B618" s="3"/>
      <c r="C618" s="9"/>
      <c r="D618" s="3"/>
      <c r="E618" s="3"/>
      <c r="F618" s="53"/>
      <c r="G618" s="53"/>
      <c r="H618" s="53"/>
      <c r="I618" s="54"/>
      <c r="J618" s="53"/>
      <c r="K618" s="53"/>
      <c r="L618" s="53"/>
      <c r="M618" s="53"/>
      <c r="N618" s="54"/>
      <c r="O618" s="53"/>
      <c r="P618" s="53"/>
    </row>
    <row r="619" spans="1:16">
      <c r="A619" s="53"/>
      <c r="B619" s="3"/>
      <c r="C619" s="9"/>
      <c r="D619" s="3"/>
      <c r="E619" s="3"/>
      <c r="F619" s="53"/>
      <c r="G619" s="53"/>
      <c r="H619" s="53"/>
      <c r="I619" s="54"/>
      <c r="J619" s="53"/>
      <c r="K619" s="53"/>
      <c r="L619" s="53"/>
      <c r="M619" s="53"/>
      <c r="N619" s="54"/>
      <c r="O619" s="53"/>
      <c r="P619" s="53"/>
    </row>
    <row r="620" spans="1:16">
      <c r="A620" s="53"/>
      <c r="B620" s="3"/>
      <c r="C620" s="9"/>
      <c r="D620" s="3"/>
      <c r="E620" s="3"/>
      <c r="F620" s="53"/>
      <c r="G620" s="53"/>
      <c r="H620" s="53"/>
      <c r="I620" s="54"/>
      <c r="J620" s="53"/>
      <c r="K620" s="53"/>
      <c r="L620" s="53"/>
      <c r="M620" s="53"/>
      <c r="N620" s="54"/>
      <c r="O620" s="53"/>
      <c r="P620" s="53"/>
    </row>
    <row r="621" spans="1:16">
      <c r="A621" s="53"/>
      <c r="B621" s="3"/>
      <c r="C621" s="9"/>
      <c r="D621" s="3"/>
      <c r="E621" s="3"/>
      <c r="F621" s="53"/>
      <c r="G621" s="53"/>
      <c r="H621" s="53"/>
      <c r="I621" s="54"/>
      <c r="J621" s="53"/>
      <c r="K621" s="53"/>
      <c r="L621" s="53"/>
      <c r="M621" s="53"/>
      <c r="N621" s="54"/>
      <c r="O621" s="53"/>
      <c r="P621" s="53"/>
    </row>
    <row r="622" spans="1:16">
      <c r="A622" s="53"/>
      <c r="B622" s="3"/>
      <c r="C622" s="9"/>
      <c r="D622" s="3"/>
      <c r="E622" s="3"/>
      <c r="F622" s="53"/>
      <c r="G622" s="53"/>
      <c r="H622" s="53"/>
      <c r="I622" s="54"/>
      <c r="J622" s="53"/>
      <c r="K622" s="53"/>
      <c r="L622" s="53"/>
      <c r="M622" s="53"/>
      <c r="N622" s="54"/>
      <c r="O622" s="53"/>
      <c r="P622" s="53"/>
    </row>
    <row r="623" spans="1:16">
      <c r="A623" s="53"/>
      <c r="B623" s="3"/>
      <c r="C623" s="9"/>
      <c r="D623" s="3"/>
      <c r="E623" s="3"/>
      <c r="F623" s="53"/>
      <c r="G623" s="53"/>
      <c r="H623" s="53"/>
      <c r="I623" s="54"/>
      <c r="J623" s="53"/>
      <c r="K623" s="53"/>
      <c r="L623" s="53"/>
      <c r="M623" s="53"/>
      <c r="N623" s="54"/>
      <c r="O623" s="53"/>
      <c r="P623" s="53"/>
    </row>
    <row r="624" spans="1:16">
      <c r="A624" s="53"/>
      <c r="B624" s="3"/>
      <c r="C624" s="9"/>
      <c r="D624" s="3"/>
      <c r="E624" s="3"/>
      <c r="F624" s="53"/>
      <c r="G624" s="53"/>
      <c r="H624" s="53"/>
      <c r="I624" s="54"/>
      <c r="J624" s="53"/>
      <c r="K624" s="53"/>
      <c r="L624" s="53"/>
      <c r="M624" s="53"/>
      <c r="N624" s="54"/>
      <c r="O624" s="53"/>
      <c r="P624" s="53"/>
    </row>
    <row r="625" spans="1:16">
      <c r="A625" s="53"/>
      <c r="B625" s="3"/>
      <c r="C625" s="9"/>
      <c r="D625" s="3"/>
      <c r="E625" s="3"/>
      <c r="F625" s="53"/>
      <c r="G625" s="53"/>
      <c r="H625" s="53"/>
      <c r="I625" s="54"/>
      <c r="J625" s="53"/>
      <c r="K625" s="53"/>
      <c r="L625" s="53"/>
      <c r="M625" s="53"/>
      <c r="N625" s="54"/>
      <c r="O625" s="53"/>
      <c r="P625" s="53"/>
    </row>
    <row r="626" spans="1:16">
      <c r="A626" s="53"/>
      <c r="B626" s="3"/>
      <c r="C626" s="9"/>
      <c r="D626" s="3"/>
      <c r="E626" s="3"/>
      <c r="F626" s="53"/>
      <c r="G626" s="53"/>
      <c r="H626" s="53"/>
      <c r="I626" s="54"/>
      <c r="J626" s="53"/>
      <c r="K626" s="53"/>
      <c r="L626" s="53"/>
      <c r="M626" s="53"/>
      <c r="N626" s="54"/>
      <c r="O626" s="53"/>
      <c r="P626" s="53"/>
    </row>
    <row r="627" spans="1:16">
      <c r="A627" s="53"/>
      <c r="B627" s="3"/>
      <c r="C627" s="9"/>
      <c r="D627" s="3"/>
      <c r="E627" s="3"/>
      <c r="F627" s="53"/>
      <c r="G627" s="53"/>
      <c r="H627" s="53"/>
      <c r="I627" s="54"/>
      <c r="J627" s="53"/>
      <c r="K627" s="53"/>
      <c r="L627" s="53"/>
      <c r="M627" s="53"/>
      <c r="N627" s="54"/>
      <c r="O627" s="53"/>
      <c r="P627" s="53"/>
    </row>
    <row r="628" spans="1:16">
      <c r="A628" s="53"/>
      <c r="B628" s="3"/>
      <c r="C628" s="9"/>
      <c r="D628" s="3"/>
      <c r="E628" s="3"/>
      <c r="F628" s="53"/>
      <c r="G628" s="53"/>
      <c r="H628" s="53"/>
      <c r="I628" s="54"/>
      <c r="J628" s="53"/>
      <c r="K628" s="53"/>
      <c r="L628" s="53"/>
      <c r="M628" s="53"/>
      <c r="N628" s="54"/>
      <c r="O628" s="53"/>
      <c r="P628" s="53"/>
    </row>
    <row r="629" spans="1:16">
      <c r="A629" s="53"/>
      <c r="B629" s="3"/>
      <c r="C629" s="9"/>
      <c r="D629" s="3"/>
      <c r="E629" s="3"/>
      <c r="F629" s="53"/>
      <c r="G629" s="53"/>
      <c r="H629" s="53"/>
      <c r="I629" s="54"/>
      <c r="J629" s="53"/>
      <c r="K629" s="53"/>
      <c r="L629" s="53"/>
      <c r="M629" s="53"/>
      <c r="N629" s="54"/>
      <c r="O629" s="53"/>
      <c r="P629" s="53"/>
    </row>
    <row r="630" spans="1:16">
      <c r="A630" s="53"/>
      <c r="B630" s="3"/>
      <c r="C630" s="9"/>
      <c r="D630" s="3"/>
      <c r="E630" s="3"/>
      <c r="F630" s="53"/>
      <c r="G630" s="53"/>
      <c r="H630" s="53"/>
      <c r="I630" s="54"/>
      <c r="J630" s="53"/>
      <c r="K630" s="53"/>
      <c r="L630" s="53"/>
      <c r="M630" s="53"/>
      <c r="N630" s="54"/>
      <c r="O630" s="53"/>
      <c r="P630" s="53"/>
    </row>
    <row r="631" spans="1:16">
      <c r="A631" s="53"/>
      <c r="B631" s="3"/>
      <c r="C631" s="9"/>
      <c r="D631" s="3"/>
      <c r="E631" s="3"/>
      <c r="F631" s="53"/>
      <c r="G631" s="53"/>
      <c r="H631" s="53"/>
      <c r="I631" s="54"/>
      <c r="J631" s="53"/>
      <c r="K631" s="53"/>
      <c r="L631" s="53"/>
      <c r="M631" s="53"/>
      <c r="N631" s="54"/>
      <c r="O631" s="53"/>
      <c r="P631" s="53"/>
    </row>
    <row r="632" spans="1:16">
      <c r="A632" s="53"/>
      <c r="B632" s="3"/>
      <c r="C632" s="9"/>
      <c r="D632" s="3"/>
      <c r="E632" s="3"/>
      <c r="F632" s="53"/>
      <c r="G632" s="53"/>
      <c r="H632" s="53"/>
      <c r="I632" s="54"/>
      <c r="J632" s="53"/>
      <c r="K632" s="53"/>
      <c r="L632" s="53"/>
      <c r="M632" s="53"/>
      <c r="N632" s="54"/>
      <c r="O632" s="53"/>
      <c r="P632" s="53"/>
    </row>
  </sheetData>
  <sheetProtection autoFilter="0"/>
  <conditionalFormatting sqref="W2 AO2 BG2 BY2 CQ2 DI2 EA2 ES2 FK2 GC2 GU2 HM2 IE2 IW2 JO2 KG2 KY2 LQ2 MI2 NA2 NS2 OK2 PC2 PU2 QM2 RE2 RW2 SO2 TG2 TY2 UQ2 VI2 WA2 WS2 XK2 YC2 YU2 ZM2 AAE2 AAW2 ABO2 ACG2 ACY2 ADQ2 AEI2 AFA2 AFS2 AGK2 AHC2 AHU2 AIM2 AJE2 AJW2 AKO2 ALG2 ALY2 AMQ2 ANI2 AOA2 AOS2 APK2 AQC2 AQU2 ARM2 ASE2 ASW2 ATO2 AUG2 AUY2 AVQ2 AWI2 AXA2 AXS2 AYK2 AZC2 AZU2 BAM2 BBE2 BBW2 BCO2 BDG2 BDY2 BEQ2 BFI2 BGA2 BGS2 BHK2 BIC2 BIU2 BJM2 BKE2 BKW2 BLO2 BMG2 BMY2 BNQ2 BOI2 BPA2 BPS2 BQK2 BRC2 BRU2 BSM2 BTE2 BTW2 BUO2 BVG2 BVY2 BWQ2 BXI2 BYA2 BYS2 BZK2 CAC2 CAU2 CBM2 CCE2 CCW2 CDO2 CEG2 CEY2 CFQ2 CGI2 CHA2 CHS2 CIK2 CJC2 CJU2 CKM2 CLE2 CLW2 CMO2 CNG2 CNY2 COQ2 CPI2 CQA2 CQS2 CRK2 CSC2 CSU2 CTM2 CUE2 CUW2 CVO2 CWG2 CWY2 CXQ2 CYI2 CZA2 CZS2 DAK2 DBC2 DBU2 DCM2 DDE2 DDW2 DEO2 DFG2 DFY2 DGQ2 DHI2 DIA2 DIS2 DJK2 DKC2 DKU2 DLM2 DME2 DMW2 DNO2 DOG2 DOY2 DPQ2 DQI2 DRA2 DRS2 DSK2 DTC2 DTU2 DUM2 DVE2 DVW2 DWO2 DXG2 DXY2 DYQ2 DZI2 EAA2 EAS2 EBK2 ECC2 ECU2 EDM2 EEE2 EEW2 EFO2 EGG2 EGY2 EHQ2 EII2 EJA2 EJS2 EKK2 ELC2 ELU2 EMM2 ENE2 ENW2 EOO2 EPG2 EPY2 EQQ2 ERI2 ESA2 ESS2 ETK2 EUC2 EUU2 EVM2 EWE2 EWW2 EXO2 EYG2 EYY2 EZQ2 FAI2 FBA2 FBS2 FCK2 FDC2 FDU2 FEM2 FFE2 FFW2 FGO2 FHG2 FHY2 FIQ2 FJI2 FKA2 FKS2 FLK2 FMC2 FMU2 FNM2 FOE2 FOW2 FPO2 FQG2 FQY2 FRQ2 FSI2 FTA2 FTS2 FUK2 FVC2 FVU2 FWM2 FXE2 FXW2 FYO2 FZG2 FZY2 GAQ2 GBI2 GCA2 GCS2 GDK2 GEC2 GEU2 GFM2 GGE2 GGW2 GHO2 GIG2 GIY2 GJQ2 GKI2 GLA2 GLS2 GMK2 GNC2 GNU2 GOM2 GPE2 GPW2 GQO2 GRG2 GRY2 GSQ2 GTI2 GUA2 GUS2 GVK2 GWC2 GWU2 GXM2 GYE2 GYW2 GZO2 HAG2 HAY2 HBQ2 HCI2 HDA2 HDS2 HEK2 HFC2 HFU2 HGM2 HHE2 HHW2 HIO2 HJG2 HJY2 HKQ2 HLI2 HMA2 HMS2 HNK2 HOC2 HOU2 HPM2 HQE2 HQW2 HRO2 HSG2 HSY2 HTQ2 HUI2 HVA2 HVS2 HWK2 HXC2 HXU2 HYM2 HZE2 HZW2 IAO2 IBG2 IBY2 ICQ2 IDI2 IEA2 IES2 IFK2 IGC2 IGU2 IHM2 IIE2 IIW2 IJO2 IKG2 IKY2 ILQ2 IMI2 INA2 INS2 IOK2 IPC2 IPU2 IQM2 IRE2 IRW2 ISO2 ITG2 ITY2 IUQ2 IVI2 IWA2 IWS2 IXK2 IYC2 IYU2 IZM2 JAE2 JAW2 JBO2 JCG2 JCY2 JDQ2 JEI2 JFA2 JFS2 JGK2 JHC2 JHU2 JIM2 JJE2 JJW2 JKO2 JLG2 JLY2 JMQ2 JNI2 JOA2 JOS2 JPK2 JQC2 JQU2 JRM2 JSE2 JSW2 JTO2 JUG2 JUY2 JVQ2 JWI2 JXA2 JXS2 JYK2 JZC2 JZU2 KAM2 KBE2 KBW2 KCO2 KDG2 KDY2 KEQ2 KFI2 KGA2 KGS2 KHK2 KIC2 KIU2 KJM2 KKE2 KKW2 KLO2 KMG2 KMY2 KNQ2 KOI2 KPA2 KPS2 KQK2 KRC2 KRU2 KSM2 KTE2 KTW2 KUO2 KVG2 KVY2 KWQ2 KXI2 KYA2 KYS2 KZK2 LAC2 LAU2 LBM2 LCE2 LCW2 LDO2 LEG2 LEY2 LFQ2 LGI2 LHA2 LHS2 LIK2 LJC2 LJU2 LKM2 LLE2 LLW2 LMO2 LNG2 LNY2 LOQ2 LPI2 LQA2 LQS2 LRK2 LSC2 LSU2 LTM2 LUE2 LUW2 LVO2 LWG2 LWY2 LXQ2 LYI2 LZA2 LZS2 MAK2 MBC2 MBU2 MCM2 MDE2 MDW2 MEO2 MFG2 MFY2 MGQ2 MHI2 MIA2 MIS2 MJK2 MKC2 MKU2 MLM2 MME2 MMW2 MNO2 MOG2 MOY2 MPQ2 MQI2 MRA2 MRS2 MSK2 MTC2 MTU2 MUM2 MVE2 MVW2 MWO2 MXG2 MXY2 MYQ2 MZI2 NAA2 NAS2 NBK2 NCC2 NCU2 NDM2 NEE2 NEW2 NFO2 NGG2 NGY2 NHQ2 NII2 NJA2 NJS2 NKK2 NLC2 NLU2 NMM2 NNE2 NNW2 NOO2 NPG2 NPY2 NQQ2 NRI2 NSA2 NSS2 NTK2 NUC2 NUU2 NVM2 NWE2 NWW2 NXO2 NYG2 NYY2 NZQ2 OAI2 OBA2 OBS2 OCK2 ODC2 ODU2 OEM2 OFE2 OFW2 OGO2 OHG2 OHY2 OIQ2 OJI2 OKA2 OKS2 OLK2 OMC2 OMU2 ONM2 OOE2 OOW2 OPO2 OQG2 OQY2 ORQ2 OSI2 OTA2 OTS2 OUK2 OVC2 OVU2 OWM2 OXE2 OXW2 OYO2 OZG2 OZY2 PAQ2 PBI2 PCA2 PCS2 PDK2 PEC2 PEU2 PFM2 PGE2 PGW2 PHO2 PIG2 PIY2 PJQ2 PKI2 PLA2 PLS2 PMK2 PNC2 PNU2 POM2 PPE2 PPW2 PQO2 PRG2 PRY2 PSQ2 PTI2 PUA2 PUS2 PVK2 PWC2 PWU2 PXM2 PYE2 PYW2 PZO2 QAG2 QAY2 QBQ2 QCI2 QDA2 QDS2 QEK2 QFC2 QFU2 QGM2 QHE2 QHW2 QIO2 QJG2 QJY2 QKQ2 QLI2 QMA2 QMS2 QNK2 QOC2 QOU2 QPM2 QQE2 QQW2 QRO2 QSG2 QSY2 QTQ2 QUI2 QVA2 QVS2 QWK2 QXC2 QXU2 QYM2 QZE2 QZW2 RAO2 RBG2 RBY2 RCQ2 RDI2 REA2 RES2 RFK2 RGC2 RGU2 RHM2 RIE2 RIW2 RJO2 RKG2 RKY2 RLQ2 RMI2 RNA2 RNS2 ROK2 RPC2 RPU2 RQM2 RRE2 RRW2 RSO2 RTG2 RTY2 RUQ2 RVI2 RWA2 RWS2 RXK2 RYC2 RYU2 RZM2 SAE2 SAW2 SBO2 SCG2 SCY2 SDQ2 SEI2 SFA2 SFS2 SGK2 SHC2 SHU2 SIM2 SJE2 SJW2 SKO2 SLG2 SLY2 SMQ2 SNI2 SOA2 SOS2 SPK2 SQC2 SQU2 SRM2 SSE2 SSW2 STO2 SUG2 SUY2 SVQ2 SWI2 SXA2 SXS2 SYK2 SZC2 SZU2 TAM2 TBE2 TBW2 TCO2 TDG2 TDY2 TEQ2 TFI2 TGA2 TGS2 THK2 TIC2 TIU2 TJM2 TKE2 TKW2 TLO2 TMG2 TMY2 TNQ2 TOI2 TPA2 TPS2 TQK2 TRC2 TRU2 TSM2 TTE2 TTW2 TUO2 TVG2 TVY2 TWQ2 TXI2 TYA2 TYS2 TZK2 UAC2 UAU2 UBM2 UCE2 UCW2 UDO2 UEG2 UEY2 UFQ2 UGI2 UHA2 UHS2 UIK2 UJC2 UJU2 UKM2 ULE2 ULW2 UMO2 UNG2 UNY2 UOQ2 UPI2 UQA2 UQS2 URK2 USC2 USU2 UTM2 UUE2 UUW2 UVO2 UWG2 UWY2 UXQ2 UYI2 UZA2 UZS2 VAK2 VBC2 VBU2 VCM2 VDE2 VDW2 VEO2 VFG2 VFY2 VGQ2 VHI2 VIA2 VIS2 VJK2 VKC2 VKU2 VLM2 VME2 VMW2 VNO2 VOG2 VOY2 VPQ2 VQI2 VRA2 VRS2 VSK2 VTC2 VTU2 VUM2 VVE2 VVW2 VWO2 VXG2 VXY2 VYQ2 VZI2 WAA2 WAS2 WBK2 WCC2 WCU2 WDM2 WEE2 WEW2 WFO2 WGG2 WGY2 WHQ2 WII2 WJA2 WJS2 WKK2 WLC2 WLU2 WMM2 WNE2 WNW2 WOO2 WPG2 WPY2 WQQ2 WRI2 WSA2 WSS2 WTK2 WUC2 WUU2 WVM2 WWE2 WWW2 WXO2 WYG2 WYY2 WZQ2 XAI2 XBA2 XBS2 XCK2 XDC2 XDU2 XEM2 F2:F106">
    <cfRule type="expression" dxfId="9" priority="6">
      <formula>LEFT(F2,1)="3"</formula>
    </cfRule>
    <cfRule type="expression" dxfId="8" priority="7">
      <formula>LEFT(F2,1)="2"</formula>
    </cfRule>
    <cfRule type="expression" dxfId="7" priority="8">
      <formula>LEFT(F2,1)="1"</formula>
    </cfRule>
    <cfRule type="expression" dxfId="6" priority="9">
      <formula>LEFT(F2,3)="N/A"</formula>
    </cfRule>
    <cfRule type="expression" dxfId="5" priority="10">
      <formula>LEFT(F2,3)="UTD"</formula>
    </cfRule>
  </conditionalFormatting>
  <conditionalFormatting sqref="W2 AO2 BG2 BY2 CQ2 DI2 EA2 ES2 FK2 GC2 GU2 HM2 IE2 IW2 JO2 KG2 KY2 LQ2 MI2 NA2 NS2 OK2 PC2 PU2 QM2 RE2 RW2 SO2 TG2 TY2 UQ2 VI2 WA2 WS2 XK2 YC2 YU2 ZM2 AAE2 AAW2 ABO2 ACG2 ACY2 ADQ2 AEI2 AFA2 AFS2 AGK2 AHC2 AHU2 AIM2 AJE2 AJW2 AKO2 ALG2 ALY2 AMQ2 ANI2 AOA2 AOS2 APK2 AQC2 AQU2 ARM2 ASE2 ASW2 ATO2 AUG2 AUY2 AVQ2 AWI2 AXA2 AXS2 AYK2 AZC2 AZU2 BAM2 BBE2 BBW2 BCO2 BDG2 BDY2 BEQ2 BFI2 BGA2 BGS2 BHK2 BIC2 BIU2 BJM2 BKE2 BKW2 BLO2 BMG2 BMY2 BNQ2 BOI2 BPA2 BPS2 BQK2 BRC2 BRU2 BSM2 BTE2 BTW2 BUO2 BVG2 BVY2 BWQ2 BXI2 BYA2 BYS2 BZK2 CAC2 CAU2 CBM2 CCE2 CCW2 CDO2 CEG2 CEY2 CFQ2 CGI2 CHA2 CHS2 CIK2 CJC2 CJU2 CKM2 CLE2 CLW2 CMO2 CNG2 CNY2 COQ2 CPI2 CQA2 CQS2 CRK2 CSC2 CSU2 CTM2 CUE2 CUW2 CVO2 CWG2 CWY2 CXQ2 CYI2 CZA2 CZS2 DAK2 DBC2 DBU2 DCM2 DDE2 DDW2 DEO2 DFG2 DFY2 DGQ2 DHI2 DIA2 DIS2 DJK2 DKC2 DKU2 DLM2 DME2 DMW2 DNO2 DOG2 DOY2 DPQ2 DQI2 DRA2 DRS2 DSK2 DTC2 DTU2 DUM2 DVE2 DVW2 DWO2 DXG2 DXY2 DYQ2 DZI2 EAA2 EAS2 EBK2 ECC2 ECU2 EDM2 EEE2 EEW2 EFO2 EGG2 EGY2 EHQ2 EII2 EJA2 EJS2 EKK2 ELC2 ELU2 EMM2 ENE2 ENW2 EOO2 EPG2 EPY2 EQQ2 ERI2 ESA2 ESS2 ETK2 EUC2 EUU2 EVM2 EWE2 EWW2 EXO2 EYG2 EYY2 EZQ2 FAI2 FBA2 FBS2 FCK2 FDC2 FDU2 FEM2 FFE2 FFW2 FGO2 FHG2 FHY2 FIQ2 FJI2 FKA2 FKS2 FLK2 FMC2 FMU2 FNM2 FOE2 FOW2 FPO2 FQG2 FQY2 FRQ2 FSI2 FTA2 FTS2 FUK2 FVC2 FVU2 FWM2 FXE2 FXW2 FYO2 FZG2 FZY2 GAQ2 GBI2 GCA2 GCS2 GDK2 GEC2 GEU2 GFM2 GGE2 GGW2 GHO2 GIG2 GIY2 GJQ2 GKI2 GLA2 GLS2 GMK2 GNC2 GNU2 GOM2 GPE2 GPW2 GQO2 GRG2 GRY2 GSQ2 GTI2 GUA2 GUS2 GVK2 GWC2 GWU2 GXM2 GYE2 GYW2 GZO2 HAG2 HAY2 HBQ2 HCI2 HDA2 HDS2 HEK2 HFC2 HFU2 HGM2 HHE2 HHW2 HIO2 HJG2 HJY2 HKQ2 HLI2 HMA2 HMS2 HNK2 HOC2 HOU2 HPM2 HQE2 HQW2 HRO2 HSG2 HSY2 HTQ2 HUI2 HVA2 HVS2 HWK2 HXC2 HXU2 HYM2 HZE2 HZW2 IAO2 IBG2 IBY2 ICQ2 IDI2 IEA2 IES2 IFK2 IGC2 IGU2 IHM2 IIE2 IIW2 IJO2 IKG2 IKY2 ILQ2 IMI2 INA2 INS2 IOK2 IPC2 IPU2 IQM2 IRE2 IRW2 ISO2 ITG2 ITY2 IUQ2 IVI2 IWA2 IWS2 IXK2 IYC2 IYU2 IZM2 JAE2 JAW2 JBO2 JCG2 JCY2 JDQ2 JEI2 JFA2 JFS2 JGK2 JHC2 JHU2 JIM2 JJE2 JJW2 JKO2 JLG2 JLY2 JMQ2 JNI2 JOA2 JOS2 JPK2 JQC2 JQU2 JRM2 JSE2 JSW2 JTO2 JUG2 JUY2 JVQ2 JWI2 JXA2 JXS2 JYK2 JZC2 JZU2 KAM2 KBE2 KBW2 KCO2 KDG2 KDY2 KEQ2 KFI2 KGA2 KGS2 KHK2 KIC2 KIU2 KJM2 KKE2 KKW2 KLO2 KMG2 KMY2 KNQ2 KOI2 KPA2 KPS2 KQK2 KRC2 KRU2 KSM2 KTE2 KTW2 KUO2 KVG2 KVY2 KWQ2 KXI2 KYA2 KYS2 KZK2 LAC2 LAU2 LBM2 LCE2 LCW2 LDO2 LEG2 LEY2 LFQ2 LGI2 LHA2 LHS2 LIK2 LJC2 LJU2 LKM2 LLE2 LLW2 LMO2 LNG2 LNY2 LOQ2 LPI2 LQA2 LQS2 LRK2 LSC2 LSU2 LTM2 LUE2 LUW2 LVO2 LWG2 LWY2 LXQ2 LYI2 LZA2 LZS2 MAK2 MBC2 MBU2 MCM2 MDE2 MDW2 MEO2 MFG2 MFY2 MGQ2 MHI2 MIA2 MIS2 MJK2 MKC2 MKU2 MLM2 MME2 MMW2 MNO2 MOG2 MOY2 MPQ2 MQI2 MRA2 MRS2 MSK2 MTC2 MTU2 MUM2 MVE2 MVW2 MWO2 MXG2 MXY2 MYQ2 MZI2 NAA2 NAS2 NBK2 NCC2 NCU2 NDM2 NEE2 NEW2 NFO2 NGG2 NGY2 NHQ2 NII2 NJA2 NJS2 NKK2 NLC2 NLU2 NMM2 NNE2 NNW2 NOO2 NPG2 NPY2 NQQ2 NRI2 NSA2 NSS2 NTK2 NUC2 NUU2 NVM2 NWE2 NWW2 NXO2 NYG2 NYY2 NZQ2 OAI2 OBA2 OBS2 OCK2 ODC2 ODU2 OEM2 OFE2 OFW2 OGO2 OHG2 OHY2 OIQ2 OJI2 OKA2 OKS2 OLK2 OMC2 OMU2 ONM2 OOE2 OOW2 OPO2 OQG2 OQY2 ORQ2 OSI2 OTA2 OTS2 OUK2 OVC2 OVU2 OWM2 OXE2 OXW2 OYO2 OZG2 OZY2 PAQ2 PBI2 PCA2 PCS2 PDK2 PEC2 PEU2 PFM2 PGE2 PGW2 PHO2 PIG2 PIY2 PJQ2 PKI2 PLA2 PLS2 PMK2 PNC2 PNU2 POM2 PPE2 PPW2 PQO2 PRG2 PRY2 PSQ2 PTI2 PUA2 PUS2 PVK2 PWC2 PWU2 PXM2 PYE2 PYW2 PZO2 QAG2 QAY2 QBQ2 QCI2 QDA2 QDS2 QEK2 QFC2 QFU2 QGM2 QHE2 QHW2 QIO2 QJG2 QJY2 QKQ2 QLI2 QMA2 QMS2 QNK2 QOC2 QOU2 QPM2 QQE2 QQW2 QRO2 QSG2 QSY2 QTQ2 QUI2 QVA2 QVS2 QWK2 QXC2 QXU2 QYM2 QZE2 QZW2 RAO2 RBG2 RBY2 RCQ2 RDI2 REA2 RES2 RFK2 RGC2 RGU2 RHM2 RIE2 RIW2 RJO2 RKG2 RKY2 RLQ2 RMI2 RNA2 RNS2 ROK2 RPC2 RPU2 RQM2 RRE2 RRW2 RSO2 RTG2 RTY2 RUQ2 RVI2 RWA2 RWS2 RXK2 RYC2 RYU2 RZM2 SAE2 SAW2 SBO2 SCG2 SCY2 SDQ2 SEI2 SFA2 SFS2 SGK2 SHC2 SHU2 SIM2 SJE2 SJW2 SKO2 SLG2 SLY2 SMQ2 SNI2 SOA2 SOS2 SPK2 SQC2 SQU2 SRM2 SSE2 SSW2 STO2 SUG2 SUY2 SVQ2 SWI2 SXA2 SXS2 SYK2 SZC2 SZU2 TAM2 TBE2 TBW2 TCO2 TDG2 TDY2 TEQ2 TFI2 TGA2 TGS2 THK2 TIC2 TIU2 TJM2 TKE2 TKW2 TLO2 TMG2 TMY2 TNQ2 TOI2 TPA2 TPS2 TQK2 TRC2 TRU2 TSM2 TTE2 TTW2 TUO2 TVG2 TVY2 TWQ2 TXI2 TYA2 TYS2 TZK2 UAC2 UAU2 UBM2 UCE2 UCW2 UDO2 UEG2 UEY2 UFQ2 UGI2 UHA2 UHS2 UIK2 UJC2 UJU2 UKM2 ULE2 ULW2 UMO2 UNG2 UNY2 UOQ2 UPI2 UQA2 UQS2 URK2 USC2 USU2 UTM2 UUE2 UUW2 UVO2 UWG2 UWY2 UXQ2 UYI2 UZA2 UZS2 VAK2 VBC2 VBU2 VCM2 VDE2 VDW2 VEO2 VFG2 VFY2 VGQ2 VHI2 VIA2 VIS2 VJK2 VKC2 VKU2 VLM2 VME2 VMW2 VNO2 VOG2 VOY2 VPQ2 VQI2 VRA2 VRS2 VSK2 VTC2 VTU2 VUM2 VVE2 VVW2 VWO2 VXG2 VXY2 VYQ2 VZI2 WAA2 WAS2 WBK2 WCC2 WCU2 WDM2 WEE2 WEW2 WFO2 WGG2 WGY2 WHQ2 WII2 WJA2 WJS2 WKK2 WLC2 WLU2 WMM2 WNE2 WNW2 WOO2 WPG2 WPY2 WQQ2 WRI2 WSA2 WSS2 WTK2 WUC2 WUU2 WVM2 WWE2 WWW2 WXO2 WYG2 WYY2 WZQ2 XAI2 XBA2 XBS2 XCK2 XDC2 XDU2 XEM2 F2:F632">
    <cfRule type="expression" dxfId="4" priority="1">
      <formula>LEFT(F2,1)="3"</formula>
    </cfRule>
    <cfRule type="expression" dxfId="3" priority="2">
      <formula>LEFT(F2,1)="2"</formula>
    </cfRule>
    <cfRule type="expression" dxfId="2" priority="3">
      <formula>LEFT(F2,1)="1"</formula>
    </cfRule>
    <cfRule type="expression" dxfId="1" priority="4">
      <formula>LEFT(F2,3)="N/A"</formula>
    </cfRule>
    <cfRule type="expression" dxfId="0" priority="5">
      <formula>LEFT(F2,3)="UTD"</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8D7B7D5-B4CF-47F7-BC11-DCC9141AE901}">
          <x14:formula1>
            <xm:f>Lists!$G$2:$G$9</xm:f>
          </x14:formula1>
          <xm:sqref>G2:G106</xm:sqref>
        </x14:dataValidation>
        <x14:dataValidation type="list" allowBlank="1" showInputMessage="1" showErrorMessage="1" xr:uid="{E32BA7EF-4B0D-44E8-A477-A0004A2B561C}">
          <x14:formula1>
            <xm:f>Lists!$H$2:$H$3</xm:f>
          </x14:formula1>
          <xm:sqref>N2:N106 I2:I106</xm:sqref>
        </x14:dataValidation>
        <x14:dataValidation type="list" allowBlank="1" showInputMessage="1" showErrorMessage="1" xr:uid="{9A767869-7768-4E74-9DA0-1902E298CFCB}">
          <x14:formula1>
            <xm:f>Lists!$F$2:$F$6</xm:f>
          </x14:formula1>
          <xm:sqref>F2:F106</xm:sqref>
        </x14:dataValidation>
        <x14:dataValidation type="list" allowBlank="1" showInputMessage="1" showErrorMessage="1" xr:uid="{E1A24E0D-B9EE-4820-93AB-EC8917680D36}">
          <x14:formula1>
            <xm:f>Lists!$I$2:$I$9</xm:f>
          </x14:formula1>
          <xm:sqref>L2:L106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249977111117893"/>
  </sheetPr>
  <dimension ref="A1:H24"/>
  <sheetViews>
    <sheetView zoomScaleNormal="100" workbookViewId="0">
      <pane xSplit="3" ySplit="1" topLeftCell="D2" activePane="bottomRight" state="frozen"/>
      <selection activeCell="F20" sqref="F20"/>
      <selection pane="topRight" activeCell="F20" sqref="F20"/>
      <selection pane="bottomLeft" activeCell="F20" sqref="F20"/>
      <selection pane="bottomRight" activeCell="C5" sqref="C5"/>
    </sheetView>
  </sheetViews>
  <sheetFormatPr defaultColWidth="8.75" defaultRowHeight="15"/>
  <cols>
    <col min="1" max="1" width="19.125" style="1" customWidth="1"/>
    <col min="2" max="2" width="9.25" style="11" customWidth="1"/>
    <col min="3" max="6" width="26.875" style="1" customWidth="1"/>
    <col min="7" max="8" width="53.25" style="1" customWidth="1"/>
    <col min="9" max="16384" width="8.75" style="1"/>
  </cols>
  <sheetData>
    <row r="1" spans="1:8" s="4" customFormat="1" ht="31.5">
      <c r="A1" s="12" t="s">
        <v>30</v>
      </c>
      <c r="B1" s="12" t="s">
        <v>31</v>
      </c>
      <c r="C1" s="12" t="s">
        <v>134</v>
      </c>
      <c r="D1" s="12" t="s">
        <v>135</v>
      </c>
      <c r="E1" s="12" t="s">
        <v>136</v>
      </c>
      <c r="F1" s="12" t="s">
        <v>137</v>
      </c>
      <c r="G1" s="12" t="s">
        <v>138</v>
      </c>
      <c r="H1" s="12" t="s">
        <v>526</v>
      </c>
    </row>
    <row r="2" spans="1:8" ht="105">
      <c r="A2" s="3" t="s">
        <v>44</v>
      </c>
      <c r="B2" s="9" t="s">
        <v>45</v>
      </c>
      <c r="C2" s="3" t="s">
        <v>46</v>
      </c>
      <c r="D2" s="3" t="s">
        <v>139</v>
      </c>
      <c r="E2" s="3" t="s">
        <v>140</v>
      </c>
      <c r="F2" s="3" t="s">
        <v>141</v>
      </c>
      <c r="G2" s="3" t="s">
        <v>528</v>
      </c>
      <c r="H2" s="3" t="s">
        <v>527</v>
      </c>
    </row>
    <row r="3" spans="1:8" ht="105">
      <c r="A3" s="7" t="s">
        <v>44</v>
      </c>
      <c r="B3" s="10" t="s">
        <v>49</v>
      </c>
      <c r="C3" s="7" t="s">
        <v>50</v>
      </c>
      <c r="D3" s="7" t="s">
        <v>142</v>
      </c>
      <c r="E3" s="7" t="s">
        <v>143</v>
      </c>
      <c r="F3" s="7" t="s">
        <v>144</v>
      </c>
      <c r="G3" s="7" t="s">
        <v>145</v>
      </c>
      <c r="H3" s="7" t="s">
        <v>146</v>
      </c>
    </row>
    <row r="4" spans="1:8" ht="75">
      <c r="A4" s="3" t="s">
        <v>44</v>
      </c>
      <c r="B4" s="9" t="s">
        <v>53</v>
      </c>
      <c r="C4" s="3" t="s">
        <v>54</v>
      </c>
      <c r="D4" s="3" t="s">
        <v>147</v>
      </c>
      <c r="E4" s="3" t="s">
        <v>148</v>
      </c>
      <c r="F4" s="3" t="s">
        <v>149</v>
      </c>
      <c r="G4" s="3" t="s">
        <v>150</v>
      </c>
      <c r="H4" s="3" t="s">
        <v>151</v>
      </c>
    </row>
    <row r="5" spans="1:8" ht="120">
      <c r="A5" s="3" t="s">
        <v>57</v>
      </c>
      <c r="B5" s="9" t="s">
        <v>58</v>
      </c>
      <c r="C5" s="3" t="s">
        <v>59</v>
      </c>
      <c r="D5" s="3" t="s">
        <v>152</v>
      </c>
      <c r="E5" s="3" t="s">
        <v>153</v>
      </c>
      <c r="F5" s="3" t="s">
        <v>154</v>
      </c>
      <c r="G5" s="3" t="s">
        <v>529</v>
      </c>
      <c r="H5" s="3" t="s">
        <v>530</v>
      </c>
    </row>
    <row r="6" spans="1:8" ht="105">
      <c r="A6" s="3" t="s">
        <v>57</v>
      </c>
      <c r="B6" s="9" t="s">
        <v>62</v>
      </c>
      <c r="C6" s="3" t="s">
        <v>63</v>
      </c>
      <c r="D6" s="3" t="s">
        <v>155</v>
      </c>
      <c r="E6" s="3" t="s">
        <v>156</v>
      </c>
      <c r="F6" s="3" t="s">
        <v>157</v>
      </c>
      <c r="G6" s="3" t="s">
        <v>158</v>
      </c>
      <c r="H6" s="3" t="s">
        <v>159</v>
      </c>
    </row>
    <row r="7" spans="1:8" ht="120">
      <c r="A7" s="3" t="s">
        <v>57</v>
      </c>
      <c r="B7" s="9" t="s">
        <v>66</v>
      </c>
      <c r="C7" s="3" t="s">
        <v>67</v>
      </c>
      <c r="D7" s="3" t="s">
        <v>160</v>
      </c>
      <c r="E7" s="3" t="s">
        <v>161</v>
      </c>
      <c r="F7" s="3" t="s">
        <v>162</v>
      </c>
      <c r="G7" s="3" t="s">
        <v>163</v>
      </c>
      <c r="H7" s="3" t="s">
        <v>164</v>
      </c>
    </row>
    <row r="8" spans="1:8" ht="240">
      <c r="A8" s="3" t="s">
        <v>70</v>
      </c>
      <c r="B8" s="9" t="s">
        <v>71</v>
      </c>
      <c r="C8" s="3" t="s">
        <v>532</v>
      </c>
      <c r="D8" s="3" t="s">
        <v>535</v>
      </c>
      <c r="E8" s="3" t="s">
        <v>536</v>
      </c>
      <c r="F8" s="3" t="s">
        <v>537</v>
      </c>
      <c r="G8" s="3" t="s">
        <v>531</v>
      </c>
      <c r="H8" s="3" t="s">
        <v>538</v>
      </c>
    </row>
    <row r="9" spans="1:8" ht="210">
      <c r="A9" s="3" t="s">
        <v>70</v>
      </c>
      <c r="B9" s="9" t="s">
        <v>74</v>
      </c>
      <c r="C9" s="3" t="s">
        <v>533</v>
      </c>
      <c r="D9" s="3" t="s">
        <v>539</v>
      </c>
      <c r="E9" s="3" t="s">
        <v>540</v>
      </c>
      <c r="F9" s="3" t="s">
        <v>541</v>
      </c>
      <c r="G9" s="3" t="s">
        <v>546</v>
      </c>
      <c r="H9" s="3" t="s">
        <v>542</v>
      </c>
    </row>
    <row r="10" spans="1:8" ht="240">
      <c r="A10" s="3" t="s">
        <v>70</v>
      </c>
      <c r="B10" s="9" t="s">
        <v>78</v>
      </c>
      <c r="C10" s="3" t="s">
        <v>534</v>
      </c>
      <c r="D10" s="3" t="s">
        <v>165</v>
      </c>
      <c r="E10" s="3" t="s">
        <v>543</v>
      </c>
      <c r="F10" s="3" t="s">
        <v>544</v>
      </c>
      <c r="G10" s="3" t="s">
        <v>547</v>
      </c>
      <c r="H10" s="3" t="s">
        <v>545</v>
      </c>
    </row>
    <row r="11" spans="1:8" ht="195">
      <c r="A11" s="3" t="s">
        <v>82</v>
      </c>
      <c r="B11" s="9" t="s">
        <v>83</v>
      </c>
      <c r="C11" s="3" t="s">
        <v>84</v>
      </c>
      <c r="D11" s="3" t="s">
        <v>551</v>
      </c>
      <c r="E11" s="3" t="s">
        <v>552</v>
      </c>
      <c r="F11" s="3" t="s">
        <v>553</v>
      </c>
      <c r="G11" s="3" t="s">
        <v>549</v>
      </c>
      <c r="H11" s="3" t="s">
        <v>554</v>
      </c>
    </row>
    <row r="12" spans="1:8" ht="90">
      <c r="A12" s="3" t="s">
        <v>82</v>
      </c>
      <c r="B12" s="9" t="s">
        <v>87</v>
      </c>
      <c r="C12" s="3" t="s">
        <v>88</v>
      </c>
      <c r="D12" s="3" t="s">
        <v>166</v>
      </c>
      <c r="E12" s="3" t="s">
        <v>167</v>
      </c>
      <c r="F12" s="3" t="s">
        <v>168</v>
      </c>
      <c r="G12" s="3" t="s">
        <v>169</v>
      </c>
      <c r="H12" s="3" t="s">
        <v>170</v>
      </c>
    </row>
    <row r="13" spans="1:8" ht="90">
      <c r="A13" s="3" t="s">
        <v>82</v>
      </c>
      <c r="B13" s="9" t="s">
        <v>91</v>
      </c>
      <c r="C13" s="3" t="s">
        <v>92</v>
      </c>
      <c r="D13" s="3" t="s">
        <v>171</v>
      </c>
      <c r="E13" s="3" t="s">
        <v>172</v>
      </c>
      <c r="F13" s="3" t="s">
        <v>173</v>
      </c>
      <c r="G13" s="3" t="s">
        <v>174</v>
      </c>
      <c r="H13" s="3" t="s">
        <v>175</v>
      </c>
    </row>
    <row r="14" spans="1:8" ht="210">
      <c r="A14" s="3" t="s">
        <v>95</v>
      </c>
      <c r="B14" s="9" t="s">
        <v>96</v>
      </c>
      <c r="C14" s="3" t="s">
        <v>97</v>
      </c>
      <c r="D14" s="3" t="s">
        <v>557</v>
      </c>
      <c r="E14" s="3" t="s">
        <v>558</v>
      </c>
      <c r="F14" s="3" t="s">
        <v>559</v>
      </c>
      <c r="G14" s="3" t="s">
        <v>555</v>
      </c>
      <c r="H14" s="3" t="s">
        <v>556</v>
      </c>
    </row>
    <row r="15" spans="1:8" ht="90">
      <c r="A15" s="3" t="s">
        <v>95</v>
      </c>
      <c r="B15" s="9" t="s">
        <v>100</v>
      </c>
      <c r="C15" s="3" t="s">
        <v>101</v>
      </c>
      <c r="D15" s="3" t="s">
        <v>176</v>
      </c>
      <c r="E15" s="3" t="s">
        <v>177</v>
      </c>
      <c r="F15" s="3" t="s">
        <v>178</v>
      </c>
      <c r="G15" s="3" t="s">
        <v>179</v>
      </c>
      <c r="H15" s="3" t="s">
        <v>180</v>
      </c>
    </row>
    <row r="16" spans="1:8" ht="75">
      <c r="A16" s="3" t="s">
        <v>95</v>
      </c>
      <c r="B16" s="9" t="s">
        <v>104</v>
      </c>
      <c r="C16" s="3" t="s">
        <v>105</v>
      </c>
      <c r="D16" s="3" t="s">
        <v>181</v>
      </c>
      <c r="E16" s="3" t="s">
        <v>182</v>
      </c>
      <c r="F16" s="3" t="s">
        <v>183</v>
      </c>
      <c r="G16" s="3" t="s">
        <v>184</v>
      </c>
      <c r="H16" s="3" t="s">
        <v>185</v>
      </c>
    </row>
    <row r="17" spans="1:8" ht="180">
      <c r="A17" s="3" t="s">
        <v>108</v>
      </c>
      <c r="B17" s="9" t="s">
        <v>109</v>
      </c>
      <c r="C17" s="3" t="s">
        <v>110</v>
      </c>
      <c r="D17" s="3" t="s">
        <v>561</v>
      </c>
      <c r="E17" s="3" t="s">
        <v>562</v>
      </c>
      <c r="F17" s="3" t="s">
        <v>563</v>
      </c>
      <c r="G17" s="3" t="s">
        <v>560</v>
      </c>
      <c r="H17" s="3" t="s">
        <v>564</v>
      </c>
    </row>
    <row r="18" spans="1:8" ht="90">
      <c r="A18" s="3" t="s">
        <v>108</v>
      </c>
      <c r="B18" s="9" t="s">
        <v>113</v>
      </c>
      <c r="C18" s="3" t="s">
        <v>114</v>
      </c>
      <c r="D18" s="3" t="s">
        <v>186</v>
      </c>
      <c r="E18" s="3" t="s">
        <v>187</v>
      </c>
      <c r="F18" s="3" t="s">
        <v>188</v>
      </c>
      <c r="G18" s="3" t="s">
        <v>189</v>
      </c>
      <c r="H18" s="3" t="s">
        <v>116</v>
      </c>
    </row>
    <row r="19" spans="1:8" ht="75">
      <c r="A19" s="3" t="s">
        <v>108</v>
      </c>
      <c r="B19" s="9" t="s">
        <v>117</v>
      </c>
      <c r="C19" s="3" t="s">
        <v>118</v>
      </c>
      <c r="D19" s="3" t="s">
        <v>190</v>
      </c>
      <c r="E19" s="3" t="s">
        <v>191</v>
      </c>
      <c r="F19" s="3" t="s">
        <v>192</v>
      </c>
      <c r="G19" s="3" t="s">
        <v>193</v>
      </c>
      <c r="H19" s="3" t="s">
        <v>120</v>
      </c>
    </row>
    <row r="20" spans="1:8" ht="255">
      <c r="A20" s="3" t="s">
        <v>121</v>
      </c>
      <c r="B20" s="9" t="s">
        <v>122</v>
      </c>
      <c r="C20" s="3" t="s">
        <v>123</v>
      </c>
      <c r="D20" s="3" t="s">
        <v>567</v>
      </c>
      <c r="E20" s="3" t="s">
        <v>568</v>
      </c>
      <c r="F20" s="3" t="s">
        <v>569</v>
      </c>
      <c r="G20" s="3" t="s">
        <v>566</v>
      </c>
      <c r="H20" s="3" t="s">
        <v>574</v>
      </c>
    </row>
    <row r="21" spans="1:8" ht="105">
      <c r="A21" s="3" t="s">
        <v>121</v>
      </c>
      <c r="B21" s="9" t="s">
        <v>126</v>
      </c>
      <c r="C21" s="3" t="s">
        <v>127</v>
      </c>
      <c r="D21" s="3" t="s">
        <v>194</v>
      </c>
      <c r="E21" s="3" t="s">
        <v>195</v>
      </c>
      <c r="F21" s="3" t="s">
        <v>196</v>
      </c>
      <c r="G21" s="3" t="s">
        <v>197</v>
      </c>
      <c r="H21" s="3" t="s">
        <v>198</v>
      </c>
    </row>
    <row r="22" spans="1:8" ht="120">
      <c r="A22" s="3" t="s">
        <v>121</v>
      </c>
      <c r="B22" s="9" t="s">
        <v>130</v>
      </c>
      <c r="C22" s="3" t="s">
        <v>131</v>
      </c>
      <c r="D22" s="3" t="s">
        <v>199</v>
      </c>
      <c r="E22" s="3" t="s">
        <v>200</v>
      </c>
      <c r="F22" s="3" t="s">
        <v>201</v>
      </c>
      <c r="G22" s="3" t="s">
        <v>202</v>
      </c>
      <c r="H22" s="3" t="s">
        <v>133</v>
      </c>
    </row>
    <row r="23" spans="1:8">
      <c r="A23" s="3"/>
      <c r="B23" s="9"/>
      <c r="C23" s="3"/>
      <c r="D23" s="3"/>
      <c r="E23" s="3"/>
      <c r="F23" s="3"/>
      <c r="G23" s="3"/>
      <c r="H23" s="3"/>
    </row>
    <row r="24" spans="1:8">
      <c r="A24" s="3"/>
      <c r="B24" s="9"/>
      <c r="C24" s="3"/>
      <c r="D24" s="3"/>
      <c r="E24" s="3"/>
      <c r="F24" s="3"/>
      <c r="G24" s="3"/>
      <c r="H24" s="3"/>
    </row>
  </sheetData>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1:G69"/>
  <sheetViews>
    <sheetView zoomScaleNormal="100" workbookViewId="0">
      <pane xSplit="2" ySplit="1" topLeftCell="C2" activePane="bottomRight" state="frozen"/>
      <selection activeCell="C11" sqref="C11"/>
      <selection pane="topRight" activeCell="C11" sqref="C11"/>
      <selection pane="bottomLeft" activeCell="C11" sqref="C11"/>
      <selection pane="bottomRight" activeCell="C15" sqref="C15"/>
    </sheetView>
  </sheetViews>
  <sheetFormatPr defaultColWidth="8.75" defaultRowHeight="15"/>
  <cols>
    <col min="1" max="1" width="34" style="1" customWidth="1"/>
    <col min="2" max="2" width="9.5" style="11" customWidth="1"/>
    <col min="3" max="3" width="38" style="1" customWidth="1"/>
    <col min="4" max="4" width="24" style="15" customWidth="1"/>
    <col min="5" max="5" width="13.375" style="15" customWidth="1"/>
    <col min="6" max="6" width="75" style="1" customWidth="1"/>
    <col min="7" max="7" width="42" style="1" customWidth="1"/>
    <col min="8" max="16384" width="8.75" style="1"/>
  </cols>
  <sheetData>
    <row r="1" spans="1:7" s="4" customFormat="1" ht="31.5">
      <c r="A1" s="12" t="s">
        <v>30</v>
      </c>
      <c r="B1" s="12" t="s">
        <v>31</v>
      </c>
      <c r="C1" s="12" t="s">
        <v>203</v>
      </c>
      <c r="D1" s="12" t="s">
        <v>204</v>
      </c>
      <c r="E1" s="12" t="s">
        <v>205</v>
      </c>
      <c r="F1" s="12" t="s">
        <v>206</v>
      </c>
      <c r="G1" s="12" t="s">
        <v>207</v>
      </c>
    </row>
    <row r="2" spans="1:7">
      <c r="A2" s="3" t="s">
        <v>44</v>
      </c>
      <c r="B2" s="9" t="s">
        <v>45</v>
      </c>
      <c r="C2" s="3" t="s">
        <v>208</v>
      </c>
      <c r="D2" s="13" t="s">
        <v>209</v>
      </c>
      <c r="E2" s="13" t="s">
        <v>210</v>
      </c>
      <c r="F2" s="3" t="s">
        <v>211</v>
      </c>
      <c r="G2" s="3" t="s">
        <v>212</v>
      </c>
    </row>
    <row r="3" spans="1:7">
      <c r="A3" s="7" t="s">
        <v>44</v>
      </c>
      <c r="B3" s="10" t="s">
        <v>45</v>
      </c>
      <c r="C3" s="7" t="s">
        <v>208</v>
      </c>
      <c r="D3" s="14" t="s">
        <v>213</v>
      </c>
      <c r="E3" s="14" t="s">
        <v>214</v>
      </c>
      <c r="F3" s="7" t="s">
        <v>215</v>
      </c>
      <c r="G3" s="7" t="s">
        <v>212</v>
      </c>
    </row>
    <row r="4" spans="1:7">
      <c r="A4" s="3" t="s">
        <v>44</v>
      </c>
      <c r="B4" s="9" t="s">
        <v>45</v>
      </c>
      <c r="C4" s="3" t="s">
        <v>208</v>
      </c>
      <c r="D4" s="13" t="s">
        <v>216</v>
      </c>
      <c r="E4" s="13" t="s">
        <v>217</v>
      </c>
      <c r="F4" s="3" t="s">
        <v>218</v>
      </c>
      <c r="G4" s="3" t="s">
        <v>212</v>
      </c>
    </row>
    <row r="5" spans="1:7">
      <c r="A5" s="3" t="s">
        <v>44</v>
      </c>
      <c r="B5" s="9" t="s">
        <v>45</v>
      </c>
      <c r="C5" s="3" t="s">
        <v>219</v>
      </c>
      <c r="D5" s="13" t="s">
        <v>220</v>
      </c>
      <c r="E5" s="13" t="s">
        <v>221</v>
      </c>
      <c r="F5" s="3" t="s">
        <v>222</v>
      </c>
      <c r="G5" s="3" t="s">
        <v>223</v>
      </c>
    </row>
    <row r="6" spans="1:7">
      <c r="A6" s="3" t="s">
        <v>44</v>
      </c>
      <c r="B6" s="9" t="s">
        <v>49</v>
      </c>
      <c r="C6" s="3" t="s">
        <v>224</v>
      </c>
      <c r="D6" s="13" t="s">
        <v>225</v>
      </c>
      <c r="E6" s="13" t="s">
        <v>226</v>
      </c>
      <c r="F6" s="3" t="s">
        <v>227</v>
      </c>
      <c r="G6" s="3" t="s">
        <v>228</v>
      </c>
    </row>
    <row r="7" spans="1:7">
      <c r="A7" s="3" t="s">
        <v>44</v>
      </c>
      <c r="B7" s="9" t="s">
        <v>49</v>
      </c>
      <c r="C7" s="3" t="s">
        <v>229</v>
      </c>
      <c r="D7" s="13" t="s">
        <v>230</v>
      </c>
      <c r="E7" s="13" t="s">
        <v>231</v>
      </c>
      <c r="F7" s="3" t="s">
        <v>232</v>
      </c>
      <c r="G7" s="3" t="s">
        <v>233</v>
      </c>
    </row>
    <row r="8" spans="1:7">
      <c r="A8" s="3" t="s">
        <v>44</v>
      </c>
      <c r="B8" s="9" t="s">
        <v>49</v>
      </c>
      <c r="C8" s="3" t="s">
        <v>234</v>
      </c>
      <c r="D8" s="13" t="s">
        <v>235</v>
      </c>
      <c r="E8" s="13" t="s">
        <v>236</v>
      </c>
      <c r="F8" s="3" t="s">
        <v>237</v>
      </c>
      <c r="G8" s="3" t="s">
        <v>238</v>
      </c>
    </row>
    <row r="9" spans="1:7">
      <c r="A9" s="3" t="s">
        <v>44</v>
      </c>
      <c r="B9" s="9" t="s">
        <v>53</v>
      </c>
      <c r="C9" s="3" t="s">
        <v>208</v>
      </c>
      <c r="D9" s="13" t="s">
        <v>239</v>
      </c>
      <c r="E9" s="13" t="s">
        <v>240</v>
      </c>
      <c r="F9" s="3" t="s">
        <v>241</v>
      </c>
      <c r="G9" s="3" t="s">
        <v>212</v>
      </c>
    </row>
    <row r="10" spans="1:7">
      <c r="A10" s="3" t="s">
        <v>44</v>
      </c>
      <c r="B10" s="9" t="s">
        <v>53</v>
      </c>
      <c r="C10" s="3" t="s">
        <v>208</v>
      </c>
      <c r="D10" s="13" t="s">
        <v>216</v>
      </c>
      <c r="E10" s="13" t="s">
        <v>217</v>
      </c>
      <c r="F10" s="3" t="s">
        <v>242</v>
      </c>
      <c r="G10" s="3" t="s">
        <v>212</v>
      </c>
    </row>
    <row r="11" spans="1:7">
      <c r="A11" s="3" t="s">
        <v>44</v>
      </c>
      <c r="B11" s="9" t="s">
        <v>53</v>
      </c>
      <c r="C11" s="3" t="s">
        <v>219</v>
      </c>
      <c r="D11" s="13" t="s">
        <v>243</v>
      </c>
      <c r="E11" s="13" t="s">
        <v>221</v>
      </c>
      <c r="F11" s="3" t="s">
        <v>244</v>
      </c>
      <c r="G11" s="3" t="s">
        <v>223</v>
      </c>
    </row>
    <row r="12" spans="1:7" ht="30">
      <c r="A12" s="3" t="s">
        <v>57</v>
      </c>
      <c r="B12" s="9" t="s">
        <v>58</v>
      </c>
      <c r="C12" s="3" t="s">
        <v>245</v>
      </c>
      <c r="D12" s="13" t="s">
        <v>246</v>
      </c>
      <c r="E12" s="13" t="s">
        <v>247</v>
      </c>
      <c r="F12" s="3" t="s">
        <v>248</v>
      </c>
      <c r="G12" s="3" t="s">
        <v>249</v>
      </c>
    </row>
    <row r="13" spans="1:7" ht="30">
      <c r="A13" s="3" t="s">
        <v>57</v>
      </c>
      <c r="B13" s="9" t="s">
        <v>58</v>
      </c>
      <c r="C13" s="3" t="s">
        <v>250</v>
      </c>
      <c r="D13" s="13" t="s">
        <v>251</v>
      </c>
      <c r="E13" s="13" t="s">
        <v>214</v>
      </c>
      <c r="F13" s="3" t="s">
        <v>252</v>
      </c>
      <c r="G13" s="3" t="s">
        <v>253</v>
      </c>
    </row>
    <row r="14" spans="1:7" ht="30">
      <c r="A14" s="3" t="s">
        <v>57</v>
      </c>
      <c r="B14" s="9" t="s">
        <v>58</v>
      </c>
      <c r="C14" s="3" t="s">
        <v>229</v>
      </c>
      <c r="D14" s="13" t="s">
        <v>254</v>
      </c>
      <c r="E14" s="13" t="s">
        <v>255</v>
      </c>
      <c r="F14" s="3" t="s">
        <v>256</v>
      </c>
      <c r="G14" s="3" t="s">
        <v>233</v>
      </c>
    </row>
    <row r="15" spans="1:7" ht="30">
      <c r="A15" s="3" t="s">
        <v>57</v>
      </c>
      <c r="B15" s="9" t="s">
        <v>62</v>
      </c>
      <c r="C15" s="3" t="s">
        <v>245</v>
      </c>
      <c r="D15" s="13" t="s">
        <v>257</v>
      </c>
      <c r="E15" s="13" t="s">
        <v>258</v>
      </c>
      <c r="F15" s="3" t="s">
        <v>259</v>
      </c>
      <c r="G15" s="3" t="s">
        <v>249</v>
      </c>
    </row>
    <row r="16" spans="1:7" ht="30">
      <c r="A16" s="3" t="s">
        <v>57</v>
      </c>
      <c r="B16" s="9" t="s">
        <v>62</v>
      </c>
      <c r="C16" s="3" t="s">
        <v>229</v>
      </c>
      <c r="D16" s="13" t="s">
        <v>260</v>
      </c>
      <c r="E16" s="13" t="s">
        <v>261</v>
      </c>
      <c r="F16" s="3" t="s">
        <v>262</v>
      </c>
      <c r="G16" s="3" t="s">
        <v>233</v>
      </c>
    </row>
    <row r="17" spans="1:7" ht="30">
      <c r="A17" s="3" t="s">
        <v>57</v>
      </c>
      <c r="B17" s="9" t="s">
        <v>62</v>
      </c>
      <c r="C17" s="3" t="s">
        <v>250</v>
      </c>
      <c r="D17" s="13" t="s">
        <v>263</v>
      </c>
      <c r="E17" s="13" t="s">
        <v>214</v>
      </c>
      <c r="F17" s="3" t="s">
        <v>264</v>
      </c>
      <c r="G17" s="3" t="s">
        <v>253</v>
      </c>
    </row>
    <row r="18" spans="1:7" ht="30">
      <c r="A18" s="3" t="s">
        <v>57</v>
      </c>
      <c r="B18" s="9" t="s">
        <v>66</v>
      </c>
      <c r="C18" s="3" t="s">
        <v>245</v>
      </c>
      <c r="D18" s="13" t="s">
        <v>265</v>
      </c>
      <c r="E18" s="13" t="s">
        <v>266</v>
      </c>
      <c r="F18" s="3" t="s">
        <v>267</v>
      </c>
      <c r="G18" s="3" t="s">
        <v>249</v>
      </c>
    </row>
    <row r="19" spans="1:7" ht="30">
      <c r="A19" s="3" t="s">
        <v>57</v>
      </c>
      <c r="B19" s="9" t="s">
        <v>66</v>
      </c>
      <c r="C19" s="3" t="s">
        <v>229</v>
      </c>
      <c r="D19" s="13" t="s">
        <v>268</v>
      </c>
      <c r="E19" s="13" t="s">
        <v>269</v>
      </c>
      <c r="F19" s="3" t="s">
        <v>270</v>
      </c>
      <c r="G19" s="3" t="s">
        <v>233</v>
      </c>
    </row>
    <row r="20" spans="1:7" ht="30">
      <c r="A20" s="3" t="s">
        <v>57</v>
      </c>
      <c r="B20" s="9" t="s">
        <v>66</v>
      </c>
      <c r="C20" s="3" t="s">
        <v>229</v>
      </c>
      <c r="D20" s="13" t="s">
        <v>271</v>
      </c>
      <c r="E20" s="13" t="s">
        <v>272</v>
      </c>
      <c r="F20" s="3" t="s">
        <v>273</v>
      </c>
      <c r="G20" s="3" t="s">
        <v>233</v>
      </c>
    </row>
    <row r="21" spans="1:7" ht="30">
      <c r="A21" s="3" t="s">
        <v>70</v>
      </c>
      <c r="B21" s="9" t="s">
        <v>71</v>
      </c>
      <c r="C21" s="3" t="s">
        <v>245</v>
      </c>
      <c r="D21" s="13" t="s">
        <v>274</v>
      </c>
      <c r="E21" s="13" t="s">
        <v>275</v>
      </c>
      <c r="F21" s="3" t="s">
        <v>276</v>
      </c>
      <c r="G21" s="3" t="s">
        <v>249</v>
      </c>
    </row>
    <row r="22" spans="1:7" ht="30">
      <c r="A22" s="3" t="s">
        <v>70</v>
      </c>
      <c r="B22" s="9" t="s">
        <v>71</v>
      </c>
      <c r="C22" s="3" t="s">
        <v>250</v>
      </c>
      <c r="D22" s="13" t="s">
        <v>277</v>
      </c>
      <c r="E22" s="13" t="s">
        <v>278</v>
      </c>
      <c r="F22" s="3" t="s">
        <v>279</v>
      </c>
      <c r="G22" s="3" t="s">
        <v>253</v>
      </c>
    </row>
    <row r="23" spans="1:7" ht="30">
      <c r="A23" s="3" t="s">
        <v>70</v>
      </c>
      <c r="B23" s="9" t="s">
        <v>71</v>
      </c>
      <c r="C23" s="3" t="s">
        <v>234</v>
      </c>
      <c r="D23" s="13" t="s">
        <v>280</v>
      </c>
      <c r="E23" s="13" t="s">
        <v>236</v>
      </c>
      <c r="F23" s="3" t="s">
        <v>281</v>
      </c>
      <c r="G23" s="3" t="s">
        <v>238</v>
      </c>
    </row>
    <row r="24" spans="1:7" ht="30">
      <c r="A24" s="3" t="s">
        <v>70</v>
      </c>
      <c r="B24" s="9" t="s">
        <v>74</v>
      </c>
      <c r="C24" s="3" t="s">
        <v>250</v>
      </c>
      <c r="D24" s="13" t="s">
        <v>282</v>
      </c>
      <c r="E24" s="13" t="s">
        <v>278</v>
      </c>
      <c r="F24" s="3" t="s">
        <v>283</v>
      </c>
      <c r="G24" s="3" t="s">
        <v>253</v>
      </c>
    </row>
    <row r="25" spans="1:7" ht="90">
      <c r="A25" s="3" t="s">
        <v>70</v>
      </c>
      <c r="B25" s="9" t="s">
        <v>74</v>
      </c>
      <c r="C25" s="3" t="s">
        <v>234</v>
      </c>
      <c r="D25" s="13" t="s">
        <v>284</v>
      </c>
      <c r="E25" s="13" t="s">
        <v>236</v>
      </c>
      <c r="F25" s="3" t="s">
        <v>285</v>
      </c>
      <c r="G25" s="3" t="s">
        <v>238</v>
      </c>
    </row>
    <row r="26" spans="1:7">
      <c r="A26" s="3" t="s">
        <v>70</v>
      </c>
      <c r="B26" s="9" t="s">
        <v>74</v>
      </c>
      <c r="C26" s="3" t="s">
        <v>245</v>
      </c>
      <c r="D26" s="13" t="s">
        <v>274</v>
      </c>
      <c r="E26" s="13" t="s">
        <v>275</v>
      </c>
      <c r="F26" s="3" t="s">
        <v>286</v>
      </c>
      <c r="G26" s="3" t="s">
        <v>249</v>
      </c>
    </row>
    <row r="27" spans="1:7" ht="30">
      <c r="A27" s="3" t="s">
        <v>70</v>
      </c>
      <c r="B27" s="9" t="s">
        <v>78</v>
      </c>
      <c r="C27" s="3" t="s">
        <v>245</v>
      </c>
      <c r="D27" s="13" t="s">
        <v>274</v>
      </c>
      <c r="E27" s="13" t="s">
        <v>287</v>
      </c>
      <c r="F27" s="3" t="s">
        <v>288</v>
      </c>
      <c r="G27" s="3" t="s">
        <v>249</v>
      </c>
    </row>
    <row r="28" spans="1:7">
      <c r="A28" s="3" t="s">
        <v>70</v>
      </c>
      <c r="B28" s="9" t="s">
        <v>78</v>
      </c>
      <c r="C28" s="3" t="s">
        <v>245</v>
      </c>
      <c r="D28" s="13" t="s">
        <v>289</v>
      </c>
      <c r="E28" s="13" t="s">
        <v>290</v>
      </c>
      <c r="F28" s="3" t="s">
        <v>291</v>
      </c>
      <c r="G28" s="3" t="s">
        <v>249</v>
      </c>
    </row>
    <row r="29" spans="1:7">
      <c r="A29" s="3" t="s">
        <v>70</v>
      </c>
      <c r="B29" s="9" t="s">
        <v>78</v>
      </c>
      <c r="C29" s="3" t="s">
        <v>245</v>
      </c>
      <c r="D29" s="13" t="s">
        <v>292</v>
      </c>
      <c r="E29" s="13" t="s">
        <v>293</v>
      </c>
      <c r="F29" s="3" t="s">
        <v>294</v>
      </c>
      <c r="G29" s="3" t="s">
        <v>249</v>
      </c>
    </row>
    <row r="30" spans="1:7" ht="30">
      <c r="A30" s="3" t="s">
        <v>70</v>
      </c>
      <c r="B30" s="9" t="s">
        <v>78</v>
      </c>
      <c r="C30" s="3" t="s">
        <v>250</v>
      </c>
      <c r="D30" s="13" t="s">
        <v>295</v>
      </c>
      <c r="E30" s="13" t="s">
        <v>240</v>
      </c>
      <c r="F30" s="3" t="s">
        <v>296</v>
      </c>
      <c r="G30" s="3" t="s">
        <v>253</v>
      </c>
    </row>
    <row r="31" spans="1:7" ht="30">
      <c r="A31" s="3" t="s">
        <v>82</v>
      </c>
      <c r="B31" s="9" t="s">
        <v>83</v>
      </c>
      <c r="C31" s="3" t="s">
        <v>297</v>
      </c>
      <c r="D31" s="13" t="s">
        <v>298</v>
      </c>
      <c r="E31" s="13" t="s">
        <v>221</v>
      </c>
      <c r="F31" s="3" t="s">
        <v>299</v>
      </c>
      <c r="G31" s="3" t="s">
        <v>300</v>
      </c>
    </row>
    <row r="32" spans="1:7" ht="30">
      <c r="A32" s="3" t="s">
        <v>82</v>
      </c>
      <c r="B32" s="9" t="s">
        <v>83</v>
      </c>
      <c r="C32" s="3" t="s">
        <v>245</v>
      </c>
      <c r="D32" s="13" t="s">
        <v>301</v>
      </c>
      <c r="E32" s="13" t="s">
        <v>302</v>
      </c>
      <c r="F32" s="3" t="s">
        <v>303</v>
      </c>
      <c r="G32" s="3" t="s">
        <v>249</v>
      </c>
    </row>
    <row r="33" spans="1:7" ht="30">
      <c r="A33" s="3" t="s">
        <v>82</v>
      </c>
      <c r="B33" s="9" t="s">
        <v>83</v>
      </c>
      <c r="C33" s="3" t="s">
        <v>229</v>
      </c>
      <c r="D33" s="13" t="s">
        <v>254</v>
      </c>
      <c r="E33" s="13" t="s">
        <v>255</v>
      </c>
      <c r="F33" s="3" t="s">
        <v>304</v>
      </c>
      <c r="G33" s="3" t="s">
        <v>233</v>
      </c>
    </row>
    <row r="34" spans="1:7">
      <c r="A34" s="3" t="s">
        <v>82</v>
      </c>
      <c r="B34" s="9" t="s">
        <v>87</v>
      </c>
      <c r="C34" s="3" t="s">
        <v>245</v>
      </c>
      <c r="D34" s="13" t="s">
        <v>305</v>
      </c>
      <c r="E34" s="13" t="s">
        <v>306</v>
      </c>
      <c r="F34" s="3" t="s">
        <v>307</v>
      </c>
      <c r="G34" s="3" t="s">
        <v>249</v>
      </c>
    </row>
    <row r="35" spans="1:7">
      <c r="A35" s="3" t="s">
        <v>82</v>
      </c>
      <c r="B35" s="9" t="s">
        <v>87</v>
      </c>
      <c r="C35" s="3" t="s">
        <v>250</v>
      </c>
      <c r="D35" s="13" t="s">
        <v>308</v>
      </c>
      <c r="E35" s="13" t="s">
        <v>221</v>
      </c>
      <c r="F35" s="3" t="s">
        <v>309</v>
      </c>
      <c r="G35" s="3" t="s">
        <v>253</v>
      </c>
    </row>
    <row r="36" spans="1:7">
      <c r="A36" s="3" t="s">
        <v>82</v>
      </c>
      <c r="B36" s="9" t="s">
        <v>87</v>
      </c>
      <c r="C36" s="3" t="s">
        <v>234</v>
      </c>
      <c r="D36" s="13" t="s">
        <v>310</v>
      </c>
      <c r="E36" s="13" t="s">
        <v>236</v>
      </c>
      <c r="F36" s="3" t="s">
        <v>311</v>
      </c>
      <c r="G36" s="3" t="s">
        <v>238</v>
      </c>
    </row>
    <row r="37" spans="1:7" ht="30">
      <c r="A37" s="3" t="s">
        <v>82</v>
      </c>
      <c r="B37" s="9" t="s">
        <v>91</v>
      </c>
      <c r="C37" s="3" t="s">
        <v>245</v>
      </c>
      <c r="D37" s="13" t="s">
        <v>305</v>
      </c>
      <c r="E37" s="13" t="s">
        <v>306</v>
      </c>
      <c r="F37" s="3" t="s">
        <v>312</v>
      </c>
      <c r="G37" s="3" t="s">
        <v>249</v>
      </c>
    </row>
    <row r="38" spans="1:7" ht="30">
      <c r="A38" s="3" t="s">
        <v>82</v>
      </c>
      <c r="B38" s="9" t="s">
        <v>91</v>
      </c>
      <c r="C38" s="3" t="s">
        <v>229</v>
      </c>
      <c r="D38" s="13" t="s">
        <v>313</v>
      </c>
      <c r="E38" s="13" t="s">
        <v>314</v>
      </c>
      <c r="F38" s="3" t="s">
        <v>315</v>
      </c>
      <c r="G38" s="3" t="s">
        <v>233</v>
      </c>
    </row>
    <row r="39" spans="1:7" ht="30">
      <c r="A39" s="3" t="s">
        <v>82</v>
      </c>
      <c r="B39" s="9" t="s">
        <v>91</v>
      </c>
      <c r="C39" s="3" t="s">
        <v>234</v>
      </c>
      <c r="D39" s="13" t="s">
        <v>310</v>
      </c>
      <c r="E39" s="13" t="s">
        <v>236</v>
      </c>
      <c r="F39" s="3" t="s">
        <v>316</v>
      </c>
      <c r="G39" s="3" t="s">
        <v>238</v>
      </c>
    </row>
    <row r="40" spans="1:7" ht="30">
      <c r="A40" s="3" t="s">
        <v>95</v>
      </c>
      <c r="B40" s="9" t="s">
        <v>96</v>
      </c>
      <c r="C40" s="3" t="s">
        <v>245</v>
      </c>
      <c r="D40" s="13" t="s">
        <v>317</v>
      </c>
      <c r="E40" s="13" t="s">
        <v>318</v>
      </c>
      <c r="F40" s="3" t="s">
        <v>319</v>
      </c>
      <c r="G40" s="3" t="s">
        <v>249</v>
      </c>
    </row>
    <row r="41" spans="1:7">
      <c r="A41" s="3" t="s">
        <v>95</v>
      </c>
      <c r="B41" s="9" t="s">
        <v>96</v>
      </c>
      <c r="C41" s="3" t="s">
        <v>245</v>
      </c>
      <c r="D41" s="13" t="s">
        <v>320</v>
      </c>
      <c r="E41" s="13" t="s">
        <v>321</v>
      </c>
      <c r="F41" s="3" t="s">
        <v>322</v>
      </c>
      <c r="G41" s="3" t="s">
        <v>249</v>
      </c>
    </row>
    <row r="42" spans="1:7">
      <c r="A42" s="3" t="s">
        <v>95</v>
      </c>
      <c r="B42" s="9" t="s">
        <v>96</v>
      </c>
      <c r="C42" s="3" t="s">
        <v>234</v>
      </c>
      <c r="D42" s="13" t="s">
        <v>323</v>
      </c>
      <c r="E42" s="13" t="s">
        <v>236</v>
      </c>
      <c r="F42" s="3" t="s">
        <v>324</v>
      </c>
      <c r="G42" s="3" t="s">
        <v>238</v>
      </c>
    </row>
    <row r="43" spans="1:7" ht="30">
      <c r="A43" s="3" t="s">
        <v>95</v>
      </c>
      <c r="B43" s="9" t="s">
        <v>100</v>
      </c>
      <c r="C43" s="3" t="s">
        <v>245</v>
      </c>
      <c r="D43" s="13" t="s">
        <v>325</v>
      </c>
      <c r="E43" s="13" t="s">
        <v>326</v>
      </c>
      <c r="F43" s="3" t="s">
        <v>327</v>
      </c>
      <c r="G43" s="3" t="s">
        <v>249</v>
      </c>
    </row>
    <row r="44" spans="1:7" ht="30">
      <c r="A44" s="3" t="s">
        <v>95</v>
      </c>
      <c r="B44" s="9" t="s">
        <v>100</v>
      </c>
      <c r="C44" s="3" t="s">
        <v>234</v>
      </c>
      <c r="D44" s="13" t="s">
        <v>323</v>
      </c>
      <c r="E44" s="13" t="s">
        <v>236</v>
      </c>
      <c r="F44" s="3" t="s">
        <v>328</v>
      </c>
      <c r="G44" s="3" t="s">
        <v>238</v>
      </c>
    </row>
    <row r="45" spans="1:7" ht="30">
      <c r="A45" s="3" t="s">
        <v>95</v>
      </c>
      <c r="B45" s="9" t="s">
        <v>100</v>
      </c>
      <c r="C45" s="3" t="s">
        <v>229</v>
      </c>
      <c r="D45" s="13" t="s">
        <v>313</v>
      </c>
      <c r="E45" s="13" t="s">
        <v>314</v>
      </c>
      <c r="F45" s="3" t="s">
        <v>329</v>
      </c>
      <c r="G45" s="3" t="s">
        <v>233</v>
      </c>
    </row>
    <row r="46" spans="1:7" ht="30">
      <c r="A46" s="3" t="s">
        <v>95</v>
      </c>
      <c r="B46" s="9" t="s">
        <v>104</v>
      </c>
      <c r="C46" s="3" t="s">
        <v>245</v>
      </c>
      <c r="D46" s="13" t="s">
        <v>330</v>
      </c>
      <c r="E46" s="13" t="s">
        <v>331</v>
      </c>
      <c r="F46" s="3" t="s">
        <v>332</v>
      </c>
      <c r="G46" s="3" t="s">
        <v>249</v>
      </c>
    </row>
    <row r="47" spans="1:7" ht="30">
      <c r="A47" s="3" t="s">
        <v>95</v>
      </c>
      <c r="B47" s="9" t="s">
        <v>104</v>
      </c>
      <c r="C47" s="3" t="s">
        <v>245</v>
      </c>
      <c r="D47" s="13" t="s">
        <v>333</v>
      </c>
      <c r="E47" s="13" t="s">
        <v>321</v>
      </c>
      <c r="F47" s="3" t="s">
        <v>334</v>
      </c>
      <c r="G47" s="3" t="s">
        <v>249</v>
      </c>
    </row>
    <row r="48" spans="1:7" ht="45">
      <c r="A48" s="3" t="s">
        <v>95</v>
      </c>
      <c r="B48" s="9" t="s">
        <v>104</v>
      </c>
      <c r="C48" s="3" t="s">
        <v>234</v>
      </c>
      <c r="D48" s="13" t="s">
        <v>335</v>
      </c>
      <c r="E48" s="13" t="s">
        <v>236</v>
      </c>
      <c r="F48" s="3" t="s">
        <v>336</v>
      </c>
      <c r="G48" s="3" t="s">
        <v>238</v>
      </c>
    </row>
    <row r="49" spans="1:7" ht="30">
      <c r="A49" s="3" t="s">
        <v>108</v>
      </c>
      <c r="B49" s="9" t="s">
        <v>109</v>
      </c>
      <c r="C49" s="3" t="s">
        <v>245</v>
      </c>
      <c r="D49" s="13" t="s">
        <v>337</v>
      </c>
      <c r="E49" s="13" t="s">
        <v>338</v>
      </c>
      <c r="F49" s="3" t="s">
        <v>565</v>
      </c>
      <c r="G49" s="3" t="s">
        <v>249</v>
      </c>
    </row>
    <row r="50" spans="1:7" ht="30">
      <c r="A50" s="3" t="s">
        <v>108</v>
      </c>
      <c r="B50" s="9" t="s">
        <v>109</v>
      </c>
      <c r="C50" s="3" t="s">
        <v>229</v>
      </c>
      <c r="D50" s="13" t="s">
        <v>339</v>
      </c>
      <c r="E50" s="13" t="s">
        <v>340</v>
      </c>
      <c r="F50" s="3" t="s">
        <v>341</v>
      </c>
      <c r="G50" s="3" t="s">
        <v>233</v>
      </c>
    </row>
    <row r="51" spans="1:7" ht="45">
      <c r="A51" s="3" t="s">
        <v>108</v>
      </c>
      <c r="B51" s="9" t="s">
        <v>109</v>
      </c>
      <c r="C51" s="3" t="s">
        <v>229</v>
      </c>
      <c r="D51" s="13" t="s">
        <v>313</v>
      </c>
      <c r="E51" s="13" t="s">
        <v>342</v>
      </c>
      <c r="F51" s="3" t="s">
        <v>343</v>
      </c>
      <c r="G51" s="3" t="s">
        <v>233</v>
      </c>
    </row>
    <row r="52" spans="1:7" ht="30">
      <c r="A52" s="3" t="s">
        <v>108</v>
      </c>
      <c r="B52" s="9" t="s">
        <v>113</v>
      </c>
      <c r="C52" s="3" t="s">
        <v>229</v>
      </c>
      <c r="D52" s="13" t="s">
        <v>313</v>
      </c>
      <c r="E52" s="13" t="s">
        <v>314</v>
      </c>
      <c r="F52" s="3" t="s">
        <v>344</v>
      </c>
      <c r="G52" s="3" t="s">
        <v>233</v>
      </c>
    </row>
    <row r="53" spans="1:7">
      <c r="A53" s="3" t="s">
        <v>108</v>
      </c>
      <c r="B53" s="9" t="s">
        <v>113</v>
      </c>
      <c r="C53" s="3" t="s">
        <v>245</v>
      </c>
      <c r="D53" s="13" t="s">
        <v>337</v>
      </c>
      <c r="E53" s="13" t="s">
        <v>338</v>
      </c>
      <c r="F53" s="3" t="s">
        <v>345</v>
      </c>
      <c r="G53" s="3" t="s">
        <v>249</v>
      </c>
    </row>
    <row r="54" spans="1:7" ht="30">
      <c r="A54" s="3" t="s">
        <v>108</v>
      </c>
      <c r="B54" s="9" t="s">
        <v>113</v>
      </c>
      <c r="C54" s="3" t="s">
        <v>245</v>
      </c>
      <c r="D54" s="13" t="s">
        <v>346</v>
      </c>
      <c r="E54" s="13" t="s">
        <v>347</v>
      </c>
      <c r="F54" s="3" t="s">
        <v>348</v>
      </c>
      <c r="G54" s="3" t="s">
        <v>249</v>
      </c>
    </row>
    <row r="55" spans="1:7" ht="45">
      <c r="A55" s="3" t="s">
        <v>108</v>
      </c>
      <c r="B55" s="9" t="s">
        <v>117</v>
      </c>
      <c r="C55" s="3" t="s">
        <v>229</v>
      </c>
      <c r="D55" s="13" t="s">
        <v>313</v>
      </c>
      <c r="E55" s="13" t="s">
        <v>349</v>
      </c>
      <c r="F55" s="3" t="s">
        <v>350</v>
      </c>
      <c r="G55" s="3" t="s">
        <v>233</v>
      </c>
    </row>
    <row r="56" spans="1:7" ht="30">
      <c r="A56" s="3" t="s">
        <v>108</v>
      </c>
      <c r="B56" s="9" t="s">
        <v>117</v>
      </c>
      <c r="C56" s="3" t="s">
        <v>245</v>
      </c>
      <c r="D56" s="13" t="s">
        <v>351</v>
      </c>
      <c r="E56" s="13" t="s">
        <v>352</v>
      </c>
      <c r="F56" s="3" t="s">
        <v>353</v>
      </c>
      <c r="G56" s="3" t="s">
        <v>249</v>
      </c>
    </row>
    <row r="57" spans="1:7" ht="30">
      <c r="A57" s="3" t="s">
        <v>121</v>
      </c>
      <c r="B57" s="9" t="s">
        <v>122</v>
      </c>
      <c r="C57" s="3" t="s">
        <v>245</v>
      </c>
      <c r="D57" s="13" t="s">
        <v>354</v>
      </c>
      <c r="E57" s="13" t="s">
        <v>355</v>
      </c>
      <c r="F57" s="3" t="s">
        <v>356</v>
      </c>
      <c r="G57" s="3" t="s">
        <v>249</v>
      </c>
    </row>
    <row r="58" spans="1:7" ht="45">
      <c r="A58" s="3" t="s">
        <v>121</v>
      </c>
      <c r="B58" s="9" t="s">
        <v>122</v>
      </c>
      <c r="C58" s="3" t="s">
        <v>219</v>
      </c>
      <c r="D58" s="13" t="s">
        <v>357</v>
      </c>
      <c r="E58" s="13" t="s">
        <v>358</v>
      </c>
      <c r="F58" s="3" t="s">
        <v>359</v>
      </c>
      <c r="G58" s="3" t="s">
        <v>223</v>
      </c>
    </row>
    <row r="59" spans="1:7" ht="30">
      <c r="A59" s="3" t="s">
        <v>121</v>
      </c>
      <c r="B59" s="9" t="s">
        <v>122</v>
      </c>
      <c r="C59" s="3" t="s">
        <v>229</v>
      </c>
      <c r="D59" s="13" t="s">
        <v>360</v>
      </c>
      <c r="E59" s="13" t="s">
        <v>361</v>
      </c>
      <c r="F59" s="3" t="s">
        <v>362</v>
      </c>
      <c r="G59" s="3" t="s">
        <v>233</v>
      </c>
    </row>
    <row r="60" spans="1:7" ht="30">
      <c r="A60" s="3" t="s">
        <v>121</v>
      </c>
      <c r="B60" s="9" t="s">
        <v>122</v>
      </c>
      <c r="C60" s="3" t="s">
        <v>229</v>
      </c>
      <c r="D60" s="13" t="s">
        <v>363</v>
      </c>
      <c r="E60" s="13" t="s">
        <v>364</v>
      </c>
      <c r="F60" s="3" t="s">
        <v>365</v>
      </c>
      <c r="G60" s="3" t="s">
        <v>233</v>
      </c>
    </row>
    <row r="61" spans="1:7" ht="30">
      <c r="A61" s="3" t="s">
        <v>121</v>
      </c>
      <c r="B61" s="9" t="s">
        <v>126</v>
      </c>
      <c r="C61" s="3" t="s">
        <v>245</v>
      </c>
      <c r="D61" s="13" t="s">
        <v>366</v>
      </c>
      <c r="E61" s="13" t="s">
        <v>367</v>
      </c>
      <c r="F61" s="3" t="s">
        <v>368</v>
      </c>
      <c r="G61" s="3" t="s">
        <v>249</v>
      </c>
    </row>
    <row r="62" spans="1:7" ht="30">
      <c r="A62" s="3" t="s">
        <v>121</v>
      </c>
      <c r="B62" s="9" t="s">
        <v>126</v>
      </c>
      <c r="C62" s="3" t="s">
        <v>219</v>
      </c>
      <c r="D62" s="13" t="s">
        <v>369</v>
      </c>
      <c r="E62" s="13" t="s">
        <v>370</v>
      </c>
      <c r="F62" s="3" t="s">
        <v>371</v>
      </c>
      <c r="G62" s="3" t="s">
        <v>223</v>
      </c>
    </row>
    <row r="63" spans="1:7" ht="30">
      <c r="A63" s="3" t="s">
        <v>121</v>
      </c>
      <c r="B63" s="9" t="s">
        <v>126</v>
      </c>
      <c r="C63" s="3" t="s">
        <v>229</v>
      </c>
      <c r="D63" s="13" t="s">
        <v>363</v>
      </c>
      <c r="E63" s="13" t="s">
        <v>364</v>
      </c>
      <c r="F63" s="3" t="s">
        <v>372</v>
      </c>
      <c r="G63" s="3" t="s">
        <v>233</v>
      </c>
    </row>
    <row r="64" spans="1:7" ht="30">
      <c r="A64" s="3" t="s">
        <v>121</v>
      </c>
      <c r="B64" s="9" t="s">
        <v>130</v>
      </c>
      <c r="C64" s="3" t="s">
        <v>245</v>
      </c>
      <c r="D64" s="13" t="s">
        <v>373</v>
      </c>
      <c r="E64" s="13" t="s">
        <v>374</v>
      </c>
      <c r="F64" s="3" t="s">
        <v>375</v>
      </c>
      <c r="G64" s="3" t="s">
        <v>249</v>
      </c>
    </row>
    <row r="65" spans="1:7" ht="30">
      <c r="A65" s="3" t="s">
        <v>121</v>
      </c>
      <c r="B65" s="9" t="s">
        <v>130</v>
      </c>
      <c r="C65" s="3" t="s">
        <v>245</v>
      </c>
      <c r="D65" s="13" t="s">
        <v>376</v>
      </c>
      <c r="E65" s="13" t="s">
        <v>377</v>
      </c>
      <c r="F65" s="3" t="s">
        <v>378</v>
      </c>
      <c r="G65" s="3" t="s">
        <v>249</v>
      </c>
    </row>
    <row r="66" spans="1:7" ht="30">
      <c r="A66" s="3" t="s">
        <v>121</v>
      </c>
      <c r="B66" s="9" t="s">
        <v>130</v>
      </c>
      <c r="C66" s="3" t="s">
        <v>219</v>
      </c>
      <c r="D66" s="13" t="s">
        <v>357</v>
      </c>
      <c r="E66" s="13" t="s">
        <v>358</v>
      </c>
      <c r="F66" s="3" t="s">
        <v>379</v>
      </c>
      <c r="G66" s="3" t="s">
        <v>223</v>
      </c>
    </row>
    <row r="67" spans="1:7" ht="60">
      <c r="A67" s="3" t="s">
        <v>121</v>
      </c>
      <c r="B67" s="9" t="s">
        <v>130</v>
      </c>
      <c r="C67" s="3" t="s">
        <v>229</v>
      </c>
      <c r="D67" s="13" t="s">
        <v>380</v>
      </c>
      <c r="E67" s="13" t="s">
        <v>381</v>
      </c>
      <c r="F67" s="3" t="s">
        <v>382</v>
      </c>
      <c r="G67" s="3" t="s">
        <v>233</v>
      </c>
    </row>
    <row r="68" spans="1:7">
      <c r="A68" s="3"/>
      <c r="B68" s="9"/>
      <c r="C68" s="3"/>
      <c r="D68" s="13"/>
      <c r="E68" s="13"/>
      <c r="F68" s="3"/>
      <c r="G68" s="3"/>
    </row>
    <row r="69" spans="1:7">
      <c r="A69" s="3"/>
      <c r="B69" s="9"/>
      <c r="C69" s="3"/>
      <c r="D69" s="13"/>
      <c r="E69" s="13"/>
      <c r="F69" s="3"/>
      <c r="G69" s="3"/>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249977111117893"/>
  </sheetPr>
  <dimension ref="A1:K43"/>
  <sheetViews>
    <sheetView zoomScaleNormal="100" workbookViewId="0">
      <pane xSplit="3" ySplit="1" topLeftCell="D2" activePane="bottomRight" state="frozen"/>
      <selection activeCell="B2" sqref="B2"/>
      <selection pane="topRight" activeCell="B2" sqref="B2"/>
      <selection pane="bottomLeft" activeCell="B2" sqref="B2"/>
      <selection pane="bottomRight" activeCell="I2" sqref="I2"/>
    </sheetView>
  </sheetViews>
  <sheetFormatPr defaultColWidth="8.75" defaultRowHeight="15"/>
  <cols>
    <col min="1" max="1" width="14" style="1" customWidth="1"/>
    <col min="2" max="2" width="20" style="1" customWidth="1"/>
    <col min="3" max="3" width="12.25" style="1" customWidth="1"/>
    <col min="4" max="4" width="28" style="1" customWidth="1"/>
    <col min="5" max="5" width="48" style="1" customWidth="1"/>
    <col min="6" max="6" width="22" style="1" customWidth="1"/>
    <col min="7" max="7" width="14" style="1" customWidth="1"/>
    <col min="8" max="8" width="16" style="1" customWidth="1"/>
    <col min="9" max="9" width="36" style="1" customWidth="1"/>
    <col min="10" max="10" width="14" style="1" customWidth="1"/>
    <col min="11" max="11" width="36" style="1" customWidth="1"/>
    <col min="12" max="16384" width="8.75" style="1"/>
  </cols>
  <sheetData>
    <row r="1" spans="1:11" s="4" customFormat="1" ht="17.25" customHeight="1">
      <c r="A1" s="12" t="s">
        <v>383</v>
      </c>
      <c r="B1" s="12" t="s">
        <v>4</v>
      </c>
      <c r="C1" s="16" t="s">
        <v>31</v>
      </c>
      <c r="D1" s="12" t="s">
        <v>523</v>
      </c>
      <c r="E1" s="12" t="s">
        <v>384</v>
      </c>
      <c r="F1" s="12" t="s">
        <v>385</v>
      </c>
      <c r="G1" s="12" t="s">
        <v>386</v>
      </c>
      <c r="H1" s="12" t="s">
        <v>387</v>
      </c>
      <c r="I1" s="12" t="s">
        <v>388</v>
      </c>
      <c r="J1" s="12" t="s">
        <v>389</v>
      </c>
      <c r="K1" s="12" t="s">
        <v>17</v>
      </c>
    </row>
    <row r="2" spans="1:11">
      <c r="A2" s="5"/>
      <c r="B2" s="5"/>
      <c r="D2" s="5"/>
      <c r="E2" s="5"/>
      <c r="F2" s="5"/>
      <c r="G2" s="6"/>
      <c r="H2" s="5"/>
      <c r="I2" s="5"/>
      <c r="J2" s="6"/>
      <c r="K2" s="5"/>
    </row>
    <row r="3" spans="1:11">
      <c r="A3" s="7"/>
      <c r="B3" s="5"/>
      <c r="D3" s="5"/>
      <c r="E3" s="7"/>
      <c r="F3" s="7"/>
      <c r="G3" s="8"/>
      <c r="H3" s="5"/>
      <c r="I3" s="7"/>
      <c r="J3" s="8"/>
      <c r="K3" s="7"/>
    </row>
    <row r="4" spans="1:11">
      <c r="A4" s="5"/>
      <c r="B4" s="5"/>
      <c r="D4" s="5"/>
      <c r="E4" s="5"/>
      <c r="F4" s="5"/>
      <c r="G4" s="6"/>
      <c r="H4" s="5"/>
      <c r="I4" s="5"/>
      <c r="J4" s="6"/>
      <c r="K4" s="5"/>
    </row>
    <row r="5" spans="1:11">
      <c r="A5" s="5"/>
      <c r="B5" s="5"/>
      <c r="D5" s="5"/>
      <c r="E5" s="5"/>
      <c r="F5" s="5"/>
      <c r="G5" s="6"/>
      <c r="H5" s="5"/>
      <c r="I5" s="5"/>
      <c r="J5" s="6"/>
      <c r="K5" s="5"/>
    </row>
    <row r="6" spans="1:11">
      <c r="A6" s="5"/>
      <c r="B6" s="5"/>
      <c r="D6" s="5"/>
      <c r="E6" s="5"/>
      <c r="F6" s="5"/>
      <c r="G6" s="6"/>
      <c r="H6" s="5"/>
      <c r="I6" s="5"/>
      <c r="J6" s="6"/>
      <c r="K6" s="5"/>
    </row>
    <row r="7" spans="1:11">
      <c r="A7" s="5"/>
      <c r="B7" s="5"/>
      <c r="D7" s="5"/>
      <c r="E7" s="5"/>
      <c r="F7" s="5"/>
      <c r="G7" s="6"/>
      <c r="H7" s="5"/>
      <c r="I7" s="5"/>
      <c r="J7" s="6"/>
      <c r="K7" s="5"/>
    </row>
    <row r="8" spans="1:11">
      <c r="A8" s="5"/>
      <c r="B8" s="5"/>
      <c r="D8" s="5"/>
      <c r="E8" s="5"/>
      <c r="F8" s="5"/>
      <c r="G8" s="6"/>
      <c r="H8" s="5"/>
      <c r="I8" s="5"/>
      <c r="J8" s="6"/>
      <c r="K8" s="5"/>
    </row>
    <row r="9" spans="1:11">
      <c r="A9" s="5"/>
      <c r="B9" s="5"/>
      <c r="D9" s="5"/>
      <c r="E9" s="5"/>
      <c r="F9" s="5"/>
      <c r="G9" s="6"/>
      <c r="H9" s="5"/>
      <c r="I9" s="5"/>
      <c r="J9" s="6"/>
      <c r="K9" s="5"/>
    </row>
    <row r="10" spans="1:11">
      <c r="A10" s="5"/>
      <c r="B10" s="5"/>
      <c r="D10" s="5"/>
      <c r="E10" s="5"/>
      <c r="F10" s="5"/>
      <c r="G10" s="6"/>
      <c r="H10" s="5"/>
      <c r="I10" s="5"/>
      <c r="J10" s="6"/>
      <c r="K10" s="5"/>
    </row>
    <row r="11" spans="1:11">
      <c r="A11" s="5"/>
      <c r="B11" s="5"/>
      <c r="D11" s="5"/>
      <c r="E11" s="5"/>
      <c r="F11" s="5"/>
      <c r="G11" s="6"/>
      <c r="H11" s="5"/>
      <c r="I11" s="5"/>
      <c r="J11" s="6"/>
      <c r="K11" s="5"/>
    </row>
    <row r="12" spans="1:11">
      <c r="A12" s="5"/>
      <c r="B12" s="5"/>
      <c r="D12" s="5"/>
      <c r="E12" s="5"/>
      <c r="F12" s="5"/>
      <c r="G12" s="6"/>
      <c r="H12" s="5"/>
      <c r="I12" s="5"/>
      <c r="J12" s="6"/>
      <c r="K12" s="5"/>
    </row>
    <row r="13" spans="1:11">
      <c r="A13" s="5"/>
      <c r="B13" s="5"/>
      <c r="D13" s="5"/>
      <c r="E13" s="5"/>
      <c r="F13" s="5"/>
      <c r="G13" s="6"/>
      <c r="H13" s="5"/>
      <c r="I13" s="5"/>
      <c r="J13" s="6"/>
      <c r="K13" s="5"/>
    </row>
    <row r="14" spans="1:11">
      <c r="A14" s="5"/>
      <c r="B14" s="5"/>
      <c r="D14" s="5"/>
      <c r="E14" s="5"/>
      <c r="F14" s="5"/>
      <c r="G14" s="6"/>
      <c r="H14" s="5"/>
      <c r="I14" s="5"/>
      <c r="J14" s="6"/>
      <c r="K14" s="5"/>
    </row>
    <row r="15" spans="1:11">
      <c r="A15" s="5"/>
      <c r="B15" s="5"/>
      <c r="D15" s="5"/>
      <c r="E15" s="5"/>
      <c r="F15" s="5"/>
      <c r="G15" s="6"/>
      <c r="H15" s="5"/>
      <c r="I15" s="5"/>
      <c r="J15" s="6"/>
      <c r="K15" s="5"/>
    </row>
    <row r="16" spans="1:11">
      <c r="A16" s="5"/>
      <c r="B16" s="5"/>
      <c r="D16" s="5"/>
      <c r="E16" s="5"/>
      <c r="F16" s="5"/>
      <c r="G16" s="6"/>
      <c r="H16" s="5"/>
      <c r="I16" s="5"/>
      <c r="J16" s="6"/>
      <c r="K16" s="5"/>
    </row>
    <row r="17" spans="1:11">
      <c r="A17" s="5"/>
      <c r="B17" s="5"/>
      <c r="D17" s="5"/>
      <c r="E17" s="5"/>
      <c r="F17" s="5"/>
      <c r="G17" s="6"/>
      <c r="H17" s="5"/>
      <c r="I17" s="5"/>
      <c r="J17" s="6"/>
      <c r="K17" s="5"/>
    </row>
    <row r="18" spans="1:11">
      <c r="A18" s="5"/>
      <c r="B18" s="5"/>
      <c r="D18" s="5"/>
      <c r="E18" s="5"/>
      <c r="F18" s="5"/>
      <c r="G18" s="6"/>
      <c r="H18" s="5"/>
      <c r="I18" s="5"/>
      <c r="J18" s="6"/>
      <c r="K18" s="5"/>
    </row>
    <row r="19" spans="1:11">
      <c r="A19" s="5"/>
      <c r="B19" s="5"/>
      <c r="D19" s="5"/>
      <c r="E19" s="5"/>
      <c r="F19" s="5"/>
      <c r="G19" s="6"/>
      <c r="H19" s="5"/>
      <c r="I19" s="5"/>
      <c r="J19" s="6"/>
      <c r="K19" s="5"/>
    </row>
    <row r="20" spans="1:11">
      <c r="A20" s="5"/>
      <c r="B20" s="5"/>
      <c r="D20" s="5"/>
      <c r="E20" s="5"/>
      <c r="F20" s="5"/>
      <c r="G20" s="6"/>
      <c r="H20" s="5"/>
      <c r="I20" s="5"/>
      <c r="J20" s="6"/>
      <c r="K20" s="5"/>
    </row>
    <row r="21" spans="1:11">
      <c r="A21" s="5"/>
      <c r="B21" s="5"/>
      <c r="D21" s="5"/>
      <c r="E21" s="5"/>
      <c r="F21" s="5"/>
      <c r="G21" s="6"/>
      <c r="H21" s="5"/>
      <c r="I21" s="5"/>
      <c r="J21" s="6"/>
      <c r="K21" s="5"/>
    </row>
    <row r="22" spans="1:11">
      <c r="A22" s="5"/>
      <c r="B22" s="5"/>
      <c r="D22" s="5"/>
      <c r="E22" s="5"/>
      <c r="F22" s="5"/>
      <c r="G22" s="6"/>
      <c r="H22" s="5"/>
      <c r="I22" s="5"/>
      <c r="J22" s="6"/>
      <c r="K22" s="5"/>
    </row>
    <row r="23" spans="1:11">
      <c r="A23" s="5"/>
      <c r="B23" s="5"/>
      <c r="D23" s="5"/>
      <c r="E23" s="5"/>
      <c r="F23" s="5"/>
      <c r="G23" s="6"/>
      <c r="H23" s="5"/>
      <c r="I23" s="5"/>
      <c r="J23" s="6"/>
      <c r="K23" s="5"/>
    </row>
    <row r="24" spans="1:11">
      <c r="A24" s="5"/>
      <c r="B24" s="5"/>
      <c r="D24" s="5"/>
      <c r="E24" s="5"/>
      <c r="F24" s="5"/>
      <c r="G24" s="6"/>
      <c r="H24" s="5"/>
      <c r="I24" s="5"/>
      <c r="J24" s="6"/>
      <c r="K24" s="5"/>
    </row>
    <row r="25" spans="1:11">
      <c r="A25" s="5"/>
      <c r="B25" s="5"/>
      <c r="D25" s="5"/>
      <c r="E25" s="5"/>
      <c r="F25" s="5"/>
      <c r="G25" s="6"/>
      <c r="H25" s="5"/>
      <c r="I25" s="5"/>
      <c r="J25" s="6"/>
      <c r="K25" s="5"/>
    </row>
    <row r="26" spans="1:11">
      <c r="A26" s="5"/>
      <c r="B26" s="5"/>
      <c r="D26" s="5"/>
      <c r="E26" s="5"/>
      <c r="F26" s="5"/>
      <c r="G26" s="6"/>
      <c r="H26" s="5"/>
      <c r="I26" s="5"/>
      <c r="J26" s="6"/>
      <c r="K26" s="5"/>
    </row>
    <row r="27" spans="1:11">
      <c r="A27" s="5"/>
      <c r="B27" s="5"/>
      <c r="D27" s="5"/>
      <c r="E27" s="5"/>
      <c r="F27" s="5"/>
      <c r="G27" s="6"/>
      <c r="H27" s="5"/>
      <c r="I27" s="5"/>
      <c r="J27" s="6"/>
      <c r="K27" s="5"/>
    </row>
    <row r="28" spans="1:11">
      <c r="A28" s="5"/>
      <c r="B28" s="5"/>
      <c r="D28" s="5"/>
      <c r="E28" s="5"/>
      <c r="F28" s="5"/>
      <c r="G28" s="6"/>
      <c r="H28" s="5"/>
      <c r="I28" s="5"/>
      <c r="J28" s="6"/>
      <c r="K28" s="5"/>
    </row>
    <row r="29" spans="1:11">
      <c r="A29" s="5"/>
      <c r="B29" s="5"/>
      <c r="D29" s="5"/>
      <c r="E29" s="5"/>
      <c r="F29" s="5"/>
      <c r="G29" s="6"/>
      <c r="H29" s="5"/>
      <c r="I29" s="5"/>
      <c r="J29" s="6"/>
      <c r="K29" s="5"/>
    </row>
    <row r="30" spans="1:11">
      <c r="A30" s="5"/>
      <c r="B30" s="5"/>
      <c r="D30" s="5"/>
      <c r="E30" s="5"/>
      <c r="F30" s="5"/>
      <c r="G30" s="6"/>
      <c r="H30" s="5"/>
      <c r="I30" s="5"/>
      <c r="J30" s="6"/>
      <c r="K30" s="5"/>
    </row>
    <row r="31" spans="1:11">
      <c r="A31" s="5"/>
      <c r="B31" s="5"/>
      <c r="D31" s="5"/>
      <c r="E31" s="5"/>
      <c r="F31" s="5"/>
      <c r="G31" s="6"/>
      <c r="H31" s="5"/>
      <c r="I31" s="5"/>
      <c r="J31" s="6"/>
      <c r="K31" s="5"/>
    </row>
    <row r="32" spans="1:11">
      <c r="A32" s="5"/>
      <c r="B32" s="5"/>
      <c r="D32" s="5"/>
      <c r="E32" s="5"/>
      <c r="F32" s="5"/>
      <c r="G32" s="6"/>
      <c r="H32" s="5"/>
      <c r="I32" s="5"/>
      <c r="J32" s="6"/>
      <c r="K32" s="5"/>
    </row>
    <row r="33" spans="1:11">
      <c r="A33" s="5"/>
      <c r="B33" s="5"/>
      <c r="D33" s="5"/>
      <c r="E33" s="5"/>
      <c r="F33" s="5"/>
      <c r="G33" s="6"/>
      <c r="H33" s="5"/>
      <c r="I33" s="5"/>
      <c r="J33" s="6"/>
      <c r="K33" s="5"/>
    </row>
    <row r="34" spans="1:11">
      <c r="A34" s="5"/>
      <c r="B34" s="5"/>
      <c r="D34" s="5"/>
      <c r="E34" s="5"/>
      <c r="F34" s="5"/>
      <c r="G34" s="6"/>
      <c r="H34" s="5"/>
      <c r="I34" s="5"/>
      <c r="J34" s="6"/>
      <c r="K34" s="5"/>
    </row>
    <row r="35" spans="1:11">
      <c r="A35" s="5"/>
      <c r="B35" s="5"/>
      <c r="D35" s="5"/>
      <c r="E35" s="5"/>
      <c r="F35" s="5"/>
      <c r="G35" s="6"/>
      <c r="H35" s="5"/>
      <c r="I35" s="5"/>
      <c r="J35" s="6"/>
      <c r="K35" s="5"/>
    </row>
    <row r="36" spans="1:11">
      <c r="A36" s="5"/>
      <c r="B36" s="5"/>
      <c r="D36" s="5"/>
      <c r="E36" s="5"/>
      <c r="F36" s="5"/>
      <c r="G36" s="6"/>
      <c r="H36" s="5"/>
      <c r="I36" s="5"/>
      <c r="J36" s="6"/>
      <c r="K36" s="5"/>
    </row>
    <row r="37" spans="1:11">
      <c r="A37" s="5"/>
      <c r="B37" s="5"/>
      <c r="D37" s="5"/>
      <c r="E37" s="5"/>
      <c r="F37" s="5"/>
      <c r="G37" s="6"/>
      <c r="H37" s="5"/>
      <c r="I37" s="5"/>
      <c r="J37" s="6"/>
      <c r="K37" s="5"/>
    </row>
    <row r="38" spans="1:11">
      <c r="A38" s="5"/>
      <c r="B38" s="5"/>
      <c r="D38" s="5"/>
      <c r="E38" s="5"/>
      <c r="F38" s="5"/>
      <c r="G38" s="6"/>
      <c r="H38" s="5"/>
      <c r="I38" s="5"/>
      <c r="J38" s="6"/>
      <c r="K38" s="5"/>
    </row>
    <row r="39" spans="1:11">
      <c r="A39" s="5"/>
      <c r="B39" s="5"/>
      <c r="D39" s="5"/>
      <c r="E39" s="5"/>
      <c r="F39" s="5"/>
      <c r="G39" s="6"/>
      <c r="H39" s="5"/>
      <c r="I39" s="5"/>
      <c r="J39" s="6"/>
      <c r="K39" s="5"/>
    </row>
    <row r="40" spans="1:11">
      <c r="A40" s="5"/>
      <c r="B40" s="5"/>
      <c r="D40" s="5"/>
      <c r="E40" s="5"/>
      <c r="F40" s="5"/>
      <c r="G40" s="6"/>
      <c r="H40" s="5"/>
      <c r="I40" s="5"/>
      <c r="J40" s="6"/>
      <c r="K40" s="5"/>
    </row>
    <row r="41" spans="1:11">
      <c r="A41" s="5"/>
      <c r="B41" s="5"/>
      <c r="D41" s="5"/>
      <c r="E41" s="5"/>
      <c r="F41" s="5"/>
      <c r="G41" s="6"/>
      <c r="H41" s="5"/>
      <c r="I41" s="5"/>
      <c r="J41" s="6"/>
      <c r="K41" s="5"/>
    </row>
    <row r="42" spans="1:11">
      <c r="A42" s="5"/>
      <c r="B42" s="5"/>
      <c r="D42" s="5"/>
      <c r="E42" s="5"/>
      <c r="F42" s="5"/>
      <c r="G42" s="6"/>
      <c r="H42" s="5"/>
      <c r="I42" s="5"/>
      <c r="J42" s="6"/>
      <c r="K42" s="5"/>
    </row>
    <row r="43" spans="1:11">
      <c r="A43" s="5"/>
      <c r="B43" s="5"/>
      <c r="D43" s="5"/>
      <c r="E43" s="5"/>
      <c r="F43" s="5"/>
      <c r="G43" s="6"/>
      <c r="H43" s="5"/>
      <c r="I43" s="5"/>
      <c r="J43" s="6"/>
      <c r="K43" s="5"/>
    </row>
  </sheetData>
  <sheetProtection autoFilter="0"/>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697275D5-365C-4851-9EB9-85ACE07CEC20}">
          <x14:formula1>
            <xm:f>Lists!$K$2:$K$7</xm:f>
          </x14:formula1>
          <xm:sqref>D2:D41</xm:sqref>
        </x14:dataValidation>
        <x14:dataValidation type="list" allowBlank="1" showInputMessage="1" showErrorMessage="1" xr:uid="{72826C5A-B173-43E9-8D15-53F12B5E4EA8}">
          <x14:formula1>
            <xm:f>Lists!$L$2:$L$5</xm:f>
          </x14:formula1>
          <xm:sqref>H2:H41</xm:sqref>
        </x14:dataValidation>
        <x14:dataValidation type="list" allowBlank="1" showInputMessage="1" showErrorMessage="1" xr:uid="{31DD1CF9-4B7D-4F02-B391-48BC40ED0ABF}">
          <x14:formula1>
            <xm:f>'Review Register'!$A$2:$A$6</xm:f>
          </x14:formula1>
          <xm:sqref>B2:B41</xm:sqref>
        </x14:dataValidation>
        <x14:dataValidation type="list" allowBlank="1" showInputMessage="1" showErrorMessage="1" xr:uid="{422E757C-38BE-4712-9FF7-F800B0A01CC1}">
          <x14:formula1>
            <xm:f>'Review Entry'!$C$2:$C$106</xm:f>
          </x14:formula1>
          <xm:sqref>C2:C41</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G16"/>
  <sheetViews>
    <sheetView zoomScaleNormal="100" workbookViewId="0">
      <selection activeCell="B20" sqref="B20"/>
    </sheetView>
  </sheetViews>
  <sheetFormatPr defaultColWidth="8.75" defaultRowHeight="15"/>
  <cols>
    <col min="1" max="1" width="24.125" style="5" customWidth="1"/>
    <col min="2" max="2" width="69" style="1" customWidth="1"/>
    <col min="3" max="3" width="10.75" style="11" customWidth="1"/>
    <col min="4" max="4" width="3.25" style="1" customWidth="1"/>
    <col min="5" max="5" width="34" style="1" customWidth="1"/>
    <col min="6" max="6" width="11.625" style="11" customWidth="1"/>
    <col min="7" max="7" width="19.25" style="11" bestFit="1" customWidth="1"/>
    <col min="8" max="16384" width="8.75" style="1"/>
  </cols>
  <sheetData>
    <row r="1" spans="1:7" ht="17.25" customHeight="1">
      <c r="A1" s="17" t="s">
        <v>390</v>
      </c>
      <c r="B1" s="17" t="s">
        <v>391</v>
      </c>
      <c r="C1" s="17" t="s">
        <v>392</v>
      </c>
      <c r="D1" s="19"/>
      <c r="E1" s="17" t="s">
        <v>393</v>
      </c>
      <c r="F1" s="17" t="s">
        <v>394</v>
      </c>
      <c r="G1" s="17" t="s">
        <v>395</v>
      </c>
    </row>
    <row r="2" spans="1:7" s="19" customFormat="1">
      <c r="A2" s="30" t="s">
        <v>428</v>
      </c>
      <c r="B2" s="30" t="s">
        <v>597</v>
      </c>
      <c r="C2" s="31" cm="1">
        <f t="array" ref="C2">IFERROR(
SUMPRODUCT(
--(LEFT(ReviewEntryTable[Result],1)="3"),
--(_xlfn.XLOOKUP(ReviewEntryTable[Review ID],ReviewRegisterTable[Review ID],ReviewRegisterTable[Review Type],"")="Initial Review")
)
/
SUMPRODUCT(
--(((LEFT(ReviewEntryTable[Result],1)="3")+
(LEFT(ReviewEntryTable[Result],1)="2")+
(LEFT(ReviewEntryTable[Result],1)="1"))&gt;0),
--(_xlfn.XLOOKUP(ReviewEntryTable[Review ID],ReviewRegisterTable[Review ID],ReviewRegisterTable[Review Type],"")="Initial Review")
),
0)</f>
        <v>0</v>
      </c>
      <c r="E2" s="40" t="s">
        <v>396</v>
      </c>
      <c r="F2" s="35" cm="1">
        <f t="array" ref="F2">SUMPRODUCT(
--(ReviewEntryTable[Primary Root Cause]=E2),
--((LEFT(ReviewEntryTable[Result],1)="1")+(LEFT(ReviewEntryTable[Result],1)="2")&gt;0),
--(_xlfn.XLOOKUP(
ReviewEntryTable[Review ID],
ReviewRegisterTable[Review ID],
ReviewRegisterTable[Review Type],
""
)="Initial Review")
)</f>
        <v>0</v>
      </c>
      <c r="G2" s="31">
        <f t="shared" ref="G2:G7" si="0">IFERROR(F2/SUM($F$2:$F$7),0)</f>
        <v>0</v>
      </c>
    </row>
    <row r="3" spans="1:7" s="19" customFormat="1" ht="30">
      <c r="A3" s="32" t="s">
        <v>587</v>
      </c>
      <c r="B3" s="30" t="s">
        <v>429</v>
      </c>
      <c r="C3" s="33" cm="1">
        <f t="array" ref="C3">IFERROR(
SUMPRODUCT(
--((LEFT(ReviewEntryTable[Result],1)="1")+(LEFT(ReviewEntryTable[Result],1)="2")&gt;0),
--(_xlfn.XLOOKUP(ReviewEntryTable[Review ID],ReviewRegisterTable[Review ID],ReviewRegisterTable[Review Type],"")="Initial Review"),
--ISNUMBER(MATCH(
ReviewEntryTable[Primary Root Cause],
{"Standard Unclear","Tool / Template Friction","Training Gap","Workload / Capacity Constraint","Governance / Enforcement Gap"},
0))
)
/
SUMPRODUCT(
--((LEFT(ReviewEntryTable[Result],1)="1")+(LEFT(ReviewEntryTable[Result],1)="2")&gt;0),
--(_xlfn.XLOOKUP(ReviewEntryTable[Review ID],ReviewRegisterTable[Review ID],ReviewRegisterTable[Review Type],"")="Initial Review"),
--ISNUMBER(MATCH(
ReviewEntryTable[Primary Root Cause],
{"Standard Not Followed","Standard Unclear","Tool / Template Friction","Training Gap","Workload / Capacity Constraint","Governance / Enforcement Gap"},
0))
),
0)</f>
        <v>0</v>
      </c>
      <c r="D3" s="20"/>
      <c r="E3" s="40" t="s">
        <v>397</v>
      </c>
      <c r="F3" s="35" cm="1">
        <f t="array" ref="F3">SUMPRODUCT(
--(ReviewEntryTable[Primary Root Cause]=E3),
--((LEFT(ReviewEntryTable[Result],1)="1")+(LEFT(ReviewEntryTable[Result],1)="2")&gt;0),
--(_xlfn.XLOOKUP(
ReviewEntryTable[Review ID],
ReviewRegisterTable[Review ID],
ReviewRegisterTable[Review Type],
""
)="Initial Review")
)</f>
        <v>0</v>
      </c>
      <c r="G3" s="31">
        <f t="shared" si="0"/>
        <v>0</v>
      </c>
    </row>
    <row r="4" spans="1:7" s="19" customFormat="1" ht="30">
      <c r="A4" s="30" t="s">
        <v>430</v>
      </c>
      <c r="B4" s="30" t="s">
        <v>598</v>
      </c>
      <c r="C4" s="31" cm="1">
        <f t="array" ref="C4">IFERROR(
SUMPRODUCT(
--ISNUMBER(MATCH(
ReviewEntryTable[Evidence Status],
{"Incomplete Evidence","Missing Evidence","Inaccessible Evidence","Misfiled Evidence","Not Maintained as Expected"},
0)),
--(((LEFT(ReviewEntryTable[Result],1)="3")+
(LEFT(ReviewEntryTable[Result],1)="2")+
(LEFT(ReviewEntryTable[Result],1)="1"))&gt;0),
--(_xlfn.XLOOKUP(ReviewEntryTable[Review ID],ReviewRegisterTable[Review ID],ReviewRegisterTable[Review Type],"")="Initial Review")
)
/
SUMPRODUCT(
--(((LEFT(ReviewEntryTable[Result],1)="3")+
(LEFT(ReviewEntryTable[Result],1)="2")+
(LEFT(ReviewEntryTable[Result],1)="1"))&gt;0),
--(_xlfn.XLOOKUP(ReviewEntryTable[Review ID],ReviewRegisterTable[Review ID],ReviewRegisterTable[Review Type],"")="Initial Review")
),
0)</f>
        <v>0</v>
      </c>
      <c r="E4" s="40" t="s">
        <v>398</v>
      </c>
      <c r="F4" s="35" cm="1">
        <f t="array" ref="F4">SUMPRODUCT(
--(ReviewEntryTable[Primary Root Cause]=E4),
--((LEFT(ReviewEntryTable[Result],1)="1")+(LEFT(ReviewEntryTable[Result],1)="2")&gt;0),
--(_xlfn.XLOOKUP(
ReviewEntryTable[Review ID],
ReviewRegisterTable[Review ID],
ReviewRegisterTable[Review Type],
""
)="Initial Review")
)</f>
        <v>0</v>
      </c>
      <c r="G4" s="31">
        <f t="shared" si="0"/>
        <v>0</v>
      </c>
    </row>
    <row r="5" spans="1:7" s="19" customFormat="1" ht="30">
      <c r="A5" s="30" t="s">
        <v>431</v>
      </c>
      <c r="B5" s="30" t="s">
        <v>599</v>
      </c>
      <c r="C5" s="31" cm="1">
        <f t="array" ref="C5">IFERROR(
SUMPRODUCT(
--(ReviewEntryTable[Evidence Status]="Acceptable Alternate Evidence"),
--(((LEFT(ReviewEntryTable[Result],1)="3")+
(LEFT(ReviewEntryTable[Result],1)="2")+
(LEFT(ReviewEntryTable[Result],1)="1"))&gt;0),
--(_xlfn.XLOOKUP(ReviewEntryTable[Review ID],ReviewRegisterTable[Review ID],ReviewRegisterTable[Review Type],"")="Initial Review")
)
/
SUMPRODUCT(
--(((LEFT(ReviewEntryTable[Result],1)="3")+
(LEFT(ReviewEntryTable[Result],1)="2")+
(LEFT(ReviewEntryTable[Result],1)="1"))&gt;0),
--(_xlfn.XLOOKUP(ReviewEntryTable[Review ID],ReviewRegisterTable[Review ID],ReviewRegisterTable[Review Type],"")="Initial Review")
),
0)</f>
        <v>0</v>
      </c>
      <c r="E5" s="40" t="s">
        <v>399</v>
      </c>
      <c r="F5" s="35" cm="1">
        <f t="array" ref="F5">SUMPRODUCT(
--(ReviewEntryTable[Primary Root Cause]=E5),
--((LEFT(ReviewEntryTable[Result],1)="1")+(LEFT(ReviewEntryTable[Result],1)="2")&gt;0),
--(_xlfn.XLOOKUP(
ReviewEntryTable[Review ID],
ReviewRegisterTable[Review ID],
ReviewRegisterTable[Review Type],
""
)="Initial Review")
)</f>
        <v>0</v>
      </c>
      <c r="G5" s="31">
        <f t="shared" si="0"/>
        <v>0</v>
      </c>
    </row>
    <row r="6" spans="1:7" s="19" customFormat="1" ht="30">
      <c r="A6" s="30" t="s">
        <v>585</v>
      </c>
      <c r="B6" s="30" t="s">
        <v>584</v>
      </c>
      <c r="C6" s="31">
        <f>IFERROR(
COUNTIFS(
ReviewRegisterTable[Review Type],"Initial Review",
ReviewRegisterTable[Review Status],"Completed"
)/
COUNTIF(
ReviewRegisterTable[Review Type],"Initial Review"
),0)</f>
        <v>0</v>
      </c>
      <c r="E6" s="40" t="s">
        <v>400</v>
      </c>
      <c r="F6" s="35" cm="1">
        <f t="array" ref="F6">SUMPRODUCT(
--(ReviewEntryTable[Primary Root Cause]=E6),
--((LEFT(ReviewEntryTable[Result],1)="1")+(LEFT(ReviewEntryTable[Result],1)="2")&gt;0),
--(_xlfn.XLOOKUP(
ReviewEntryTable[Review ID],
ReviewRegisterTable[Review ID],
ReviewRegisterTable[Review Type],
""
)="Initial Review")
)</f>
        <v>0</v>
      </c>
      <c r="G6" s="31">
        <f t="shared" si="0"/>
        <v>0</v>
      </c>
    </row>
    <row r="7" spans="1:7" s="19" customFormat="1" ht="30">
      <c r="A7" s="30" t="s">
        <v>586</v>
      </c>
      <c r="B7" s="30" t="s">
        <v>588</v>
      </c>
      <c r="C7" s="34">
        <f>IFERROR(
AVERAGEIFS(
ReviewRegisterTable[Review Time (Hours)],
ReviewRegisterTable[Review Type],"Initial Review",
ReviewRegisterTable[Review Status],"Completed",
ReviewRegisterTable[Review Time (Hours)],"&gt;0"
),0)</f>
        <v>0</v>
      </c>
      <c r="E7" s="40" t="s">
        <v>401</v>
      </c>
      <c r="F7" s="35" cm="1">
        <f t="array" ref="F7">SUMPRODUCT(
--(ReviewEntryTable[Primary Root Cause]=E7),
--((LEFT(ReviewEntryTable[Result],1)="1")+(LEFT(ReviewEntryTable[Result],1)="2")&gt;0),
--(_xlfn.XLOOKUP(
ReviewEntryTable[Review ID],
ReviewRegisterTable[Review ID],
ReviewRegisterTable[Review Type],
""
)="Initial Review")
)</f>
        <v>0</v>
      </c>
      <c r="G7" s="31">
        <f t="shared" si="0"/>
        <v>0</v>
      </c>
    </row>
    <row r="8" spans="1:7" s="19" customFormat="1" ht="23.1" customHeight="1">
      <c r="A8" s="3"/>
      <c r="B8" s="3"/>
      <c r="C8" s="22"/>
      <c r="F8" s="21"/>
      <c r="G8" s="22"/>
    </row>
    <row r="9" spans="1:7" s="19" customFormat="1" ht="17.25" customHeight="1">
      <c r="A9" s="23" t="s">
        <v>432</v>
      </c>
      <c r="B9" s="23" t="s">
        <v>391</v>
      </c>
      <c r="C9" s="24" t="s">
        <v>392</v>
      </c>
      <c r="E9" s="23" t="s">
        <v>30</v>
      </c>
      <c r="F9" s="23" t="s">
        <v>437</v>
      </c>
      <c r="G9" s="69" t="s">
        <v>438</v>
      </c>
    </row>
    <row r="10" spans="1:7" s="19" customFormat="1">
      <c r="A10" s="30" t="s">
        <v>433</v>
      </c>
      <c r="B10" s="30" t="s">
        <v>434</v>
      </c>
      <c r="C10" s="35">
        <f>COUNTIF(ReviewRegisterTable[Review ID],"&lt;&gt;")</f>
        <v>5</v>
      </c>
      <c r="E10" s="37" t="s">
        <v>44</v>
      </c>
      <c r="F10" s="41" cm="1">
        <f t="array" ref="F10">IFERROR(
(
SUMPRODUCT(
--(ReviewEntryTable[Review Area]=E10),
--(_xlfn.XLOOKUP(ReviewEntryTable[Review ID],ReviewRegisterTable[Review ID],ReviewRegisterTable[Review Type],"")="Initial Review"),
--(LEFT(ReviewEntryTable[Result],1)="3")
)*3
+
SUMPRODUCT(
--(ReviewEntryTable[Review Area]=E10),
--(_xlfn.XLOOKUP(ReviewEntryTable[Review ID],ReviewRegisterTable[Review ID],ReviewRegisterTable[Review Type],"")="Initial Review"),
--(LEFT(ReviewEntryTable[Result],1)="2")
)*2
+
SUMPRODUCT(
--(ReviewEntryTable[Review Area]=E10),
--(_xlfn.XLOOKUP(ReviewEntryTable[Review ID],ReviewRegisterTable[Review ID],ReviewRegisterTable[Review Type],"")="Initial Review"),
--(LEFT(ReviewEntryTable[Result],1)="1")
)
)
/
SUMPRODUCT(
--(ReviewEntryTable[Review Area]=E10),
--(_xlfn.XLOOKUP(ReviewEntryTable[Review ID],ReviewRegisterTable[Review ID],ReviewRegisterTable[Review Type],"")="Initial Review"),
--(((LEFT(ReviewEntryTable[Result],1)="3")+
(LEFT(ReviewEntryTable[Result],1)="2")+
(LEFT(ReviewEntryTable[Result],1)="1"))&gt;0)
),
0)</f>
        <v>0</v>
      </c>
      <c r="G10" s="39" cm="1">
        <f t="array" ref="G10">IFERROR(
SUMPRODUCT(
--(ReviewEntryTable[Review Area]=E10),
--(LEFT(ReviewEntryTable[Result],1)="3"),
--(_xlfn.XLOOKUP(ReviewEntryTable[Review ID],ReviewRegisterTable[Review ID],ReviewRegisterTable[Review Type],"")="Initial Review")
)
/
SUMPRODUCT(
--(ReviewEntryTable[Review Area]=E10),
--(((LEFT(ReviewEntryTable[Result],1)="3")+
(LEFT(ReviewEntryTable[Result],1)="2")+
(LEFT(ReviewEntryTable[Result],1)="1"))&gt;0),
--(_xlfn.XLOOKUP(ReviewEntryTable[Review ID],ReviewRegisterTable[Review ID],ReviewRegisterTable[Review Type],"")="Initial Review")
),
0)</f>
        <v>0</v>
      </c>
    </row>
    <row r="11" spans="1:7" ht="17.25" customHeight="1">
      <c r="A11" s="36" t="s">
        <v>435</v>
      </c>
      <c r="B11" s="37" t="s">
        <v>436</v>
      </c>
      <c r="C11" s="38">
        <f>COUNTIF(ReviewRegisterTable[Review Status],"Completed")</f>
        <v>0</v>
      </c>
      <c r="E11" s="37" t="s">
        <v>57</v>
      </c>
      <c r="F11" s="41" cm="1">
        <f t="array" ref="F11">IFERROR(
(
SUMPRODUCT(
--(ReviewEntryTable[Review Area]=E11),
--(_xlfn.XLOOKUP(ReviewEntryTable[Review ID],ReviewRegisterTable[Review ID],ReviewRegisterTable[Review Type],"")="Initial Review"),
--(LEFT(ReviewEntryTable[Result],1)="3")
)*3
+
SUMPRODUCT(
--(ReviewEntryTable[Review Area]=E11),
--(_xlfn.XLOOKUP(ReviewEntryTable[Review ID],ReviewRegisterTable[Review ID],ReviewRegisterTable[Review Type],"")="Initial Review"),
--(LEFT(ReviewEntryTable[Result],1)="2")
)*2
+
SUMPRODUCT(
--(ReviewEntryTable[Review Area]=E11),
--(_xlfn.XLOOKUP(ReviewEntryTable[Review ID],ReviewRegisterTable[Review ID],ReviewRegisterTable[Review Type],"")="Initial Review"),
--(LEFT(ReviewEntryTable[Result],1)="1")
)
)
/
SUMPRODUCT(
--(ReviewEntryTable[Review Area]=E11),
--(_xlfn.XLOOKUP(ReviewEntryTable[Review ID],ReviewRegisterTable[Review ID],ReviewRegisterTable[Review Type],"")="Initial Review"),
--(((LEFT(ReviewEntryTable[Result],1)="3")+
(LEFT(ReviewEntryTable[Result],1)="2")+
(LEFT(ReviewEntryTable[Result],1)="1"))&gt;0)
),
0)</f>
        <v>0</v>
      </c>
      <c r="G11" s="39" cm="1">
        <f t="array" ref="G11">IFERROR(
SUMPRODUCT(
--(ReviewEntryTable[Review Area]=E11),
--(LEFT(ReviewEntryTable[Result],1)="3"),
--(_xlfn.XLOOKUP(ReviewEntryTable[Review ID],ReviewRegisterTable[Review ID],ReviewRegisterTable[Review Type],"")="Initial Review")
)
/
SUMPRODUCT(
--(ReviewEntryTable[Review Area]=E11),
--(((LEFT(ReviewEntryTable[Result],1)="3")+
(LEFT(ReviewEntryTable[Result],1)="2")+
(LEFT(ReviewEntryTable[Result],1)="1"))&gt;0),
--(_xlfn.XLOOKUP(ReviewEntryTable[Review ID],ReviewRegisterTable[Review ID],ReviewRegisterTable[Review Type],"")="Initial Review")
),
0)</f>
        <v>0</v>
      </c>
    </row>
    <row r="12" spans="1:7">
      <c r="A12" s="36" t="s">
        <v>439</v>
      </c>
      <c r="B12" s="37" t="s">
        <v>440</v>
      </c>
      <c r="C12" s="38">
        <f>(COUNTIF(ReviewEntryTable[Result],"3*")+COUNTIF(ReviewEntryTable[Result],"2*")+COUNTIF(ReviewEntryTable[Result],"1*"))</f>
        <v>0</v>
      </c>
      <c r="E12" s="37" t="s">
        <v>70</v>
      </c>
      <c r="F12" s="41" cm="1">
        <f t="array" ref="F12">IFERROR(
(
SUMPRODUCT(
--(ReviewEntryTable[Review Area]=E12),
--(_xlfn.XLOOKUP(ReviewEntryTable[Review ID],ReviewRegisterTable[Review ID],ReviewRegisterTable[Review Type],"")="Initial Review"),
--(LEFT(ReviewEntryTable[Result],1)="3")
)*3
+
SUMPRODUCT(
--(ReviewEntryTable[Review Area]=E12),
--(_xlfn.XLOOKUP(ReviewEntryTable[Review ID],ReviewRegisterTable[Review ID],ReviewRegisterTable[Review Type],"")="Initial Review"),
--(LEFT(ReviewEntryTable[Result],1)="2")
)*2
+
SUMPRODUCT(
--(ReviewEntryTable[Review Area]=E12),
--(_xlfn.XLOOKUP(ReviewEntryTable[Review ID],ReviewRegisterTable[Review ID],ReviewRegisterTable[Review Type],"")="Initial Review"),
--(LEFT(ReviewEntryTable[Result],1)="1")
)
)
/
SUMPRODUCT(
--(ReviewEntryTable[Review Area]=E12),
--(_xlfn.XLOOKUP(ReviewEntryTable[Review ID],ReviewRegisterTable[Review ID],ReviewRegisterTable[Review Type],"")="Initial Review"),
--(((LEFT(ReviewEntryTable[Result],1)="3")+
(LEFT(ReviewEntryTable[Result],1)="2")+
(LEFT(ReviewEntryTable[Result],1)="1"))&gt;0)
),
0)</f>
        <v>0</v>
      </c>
      <c r="G12" s="39" cm="1">
        <f t="array" ref="G12">IFERROR(
SUMPRODUCT(
--(ReviewEntryTable[Review Area]=E12),
--(LEFT(ReviewEntryTable[Result],1)="3"),
--(_xlfn.XLOOKUP(ReviewEntryTable[Review ID],ReviewRegisterTable[Review ID],ReviewRegisterTable[Review Type],"")="Initial Review")
)
/
SUMPRODUCT(
--(ReviewEntryTable[Review Area]=E12),
--(((LEFT(ReviewEntryTable[Result],1)="3")+
(LEFT(ReviewEntryTable[Result],1)="2")+
(LEFT(ReviewEntryTable[Result],1)="1"))&gt;0),
--(_xlfn.XLOOKUP(ReviewEntryTable[Review ID],ReviewRegisterTable[Review ID],ReviewRegisterTable[Review Type],"")="Initial Review")
),
0)</f>
        <v>0</v>
      </c>
    </row>
    <row r="13" spans="1:7">
      <c r="A13" s="36" t="s">
        <v>441</v>
      </c>
      <c r="B13" s="36" t="s">
        <v>600</v>
      </c>
      <c r="C13" s="39" cm="1">
        <f t="array" ref="C13">IFERROR(
SUMPRODUCT(
--(((LEFT(ReviewEntryTable[Result],1)="1")+
(LEFT(ReviewEntryTable[Result],1)="2"))&gt;0),
--(_xlfn.XLOOKUP(ReviewEntryTable[Review ID],ReviewRegisterTable[Review ID],ReviewRegisterTable[Review Type],"")="Initial Review")
)
/
SUMPRODUCT(
--(((LEFT(ReviewEntryTable[Result],1)="3")+
(LEFT(ReviewEntryTable[Result],1)="2")+
(LEFT(ReviewEntryTable[Result],1)="1"))&gt;0),
--(_xlfn.XLOOKUP(ReviewEntryTable[Review ID],ReviewRegisterTable[Review ID],ReviewRegisterTable[Review Type],"")="Initial Review")
),
0)</f>
        <v>0</v>
      </c>
      <c r="E13" s="37" t="s">
        <v>82</v>
      </c>
      <c r="F13" s="41" cm="1">
        <f t="array" ref="F13">IFERROR(
(
SUMPRODUCT(
--(ReviewEntryTable[Review Area]=E13),
--(_xlfn.XLOOKUP(ReviewEntryTable[Review ID],ReviewRegisterTable[Review ID],ReviewRegisterTable[Review Type],"")="Initial Review"),
--(LEFT(ReviewEntryTable[Result],1)="3")
)*3
+
SUMPRODUCT(
--(ReviewEntryTable[Review Area]=E13),
--(_xlfn.XLOOKUP(ReviewEntryTable[Review ID],ReviewRegisterTable[Review ID],ReviewRegisterTable[Review Type],"")="Initial Review"),
--(LEFT(ReviewEntryTable[Result],1)="2")
)*2
+
SUMPRODUCT(
--(ReviewEntryTable[Review Area]=E13),
--(_xlfn.XLOOKUP(ReviewEntryTable[Review ID],ReviewRegisterTable[Review ID],ReviewRegisterTable[Review Type],"")="Initial Review"),
--(LEFT(ReviewEntryTable[Result],1)="1")
)
)
/
SUMPRODUCT(
--(ReviewEntryTable[Review Area]=E13),
--(_xlfn.XLOOKUP(ReviewEntryTable[Review ID],ReviewRegisterTable[Review ID],ReviewRegisterTable[Review Type],"")="Initial Review"),
--(((LEFT(ReviewEntryTable[Result],1)="3")+
(LEFT(ReviewEntryTable[Result],1)="2")+
(LEFT(ReviewEntryTable[Result],1)="1"))&gt;0)
),
0)</f>
        <v>0</v>
      </c>
      <c r="G13" s="39" cm="1">
        <f t="array" ref="G13">IFERROR(
SUMPRODUCT(
--(ReviewEntryTable[Review Area]=E13),
--(LEFT(ReviewEntryTable[Result],1)="3"),
--(_xlfn.XLOOKUP(ReviewEntryTable[Review ID],ReviewRegisterTable[Review ID],ReviewRegisterTable[Review Type],"")="Initial Review")
)
/
SUMPRODUCT(
--(ReviewEntryTable[Review Area]=E13),
--(((LEFT(ReviewEntryTable[Result],1)="3")+
(LEFT(ReviewEntryTable[Result],1)="2")+
(LEFT(ReviewEntryTable[Result],1)="1"))&gt;0),
--(_xlfn.XLOOKUP(ReviewEntryTable[Review ID],ReviewRegisterTable[Review ID],ReviewRegisterTable[Review Type],"")="Initial Review")
),
0)</f>
        <v>0</v>
      </c>
    </row>
    <row r="14" spans="1:7">
      <c r="E14" s="37" t="s">
        <v>95</v>
      </c>
      <c r="F14" s="41" cm="1">
        <f t="array" ref="F14">IFERROR(
(
SUMPRODUCT(
--(ReviewEntryTable[Review Area]=E14),
--(_xlfn.XLOOKUP(ReviewEntryTable[Review ID],ReviewRegisterTable[Review ID],ReviewRegisterTable[Review Type],"")="Initial Review"),
--(LEFT(ReviewEntryTable[Result],1)="3")
)*3
+
SUMPRODUCT(
--(ReviewEntryTable[Review Area]=E14),
--(_xlfn.XLOOKUP(ReviewEntryTable[Review ID],ReviewRegisterTable[Review ID],ReviewRegisterTable[Review Type],"")="Initial Review"),
--(LEFT(ReviewEntryTable[Result],1)="2")
)*2
+
SUMPRODUCT(
--(ReviewEntryTable[Review Area]=E14),
--(_xlfn.XLOOKUP(ReviewEntryTable[Review ID],ReviewRegisterTable[Review ID],ReviewRegisterTable[Review Type],"")="Initial Review"),
--(LEFT(ReviewEntryTable[Result],1)="1")
)
)
/
SUMPRODUCT(
--(ReviewEntryTable[Review Area]=E14),
--(_xlfn.XLOOKUP(ReviewEntryTable[Review ID],ReviewRegisterTable[Review ID],ReviewRegisterTable[Review Type],"")="Initial Review"),
--(((LEFT(ReviewEntryTable[Result],1)="3")+
(LEFT(ReviewEntryTable[Result],1)="2")+
(LEFT(ReviewEntryTable[Result],1)="1"))&gt;0)
),
0)</f>
        <v>0</v>
      </c>
      <c r="G14" s="39" cm="1">
        <f t="array" ref="G14">IFERROR(
SUMPRODUCT(
--(ReviewEntryTable[Review Area]=E14),
--(LEFT(ReviewEntryTable[Result],1)="3"),
--(_xlfn.XLOOKUP(ReviewEntryTable[Review ID],ReviewRegisterTable[Review ID],ReviewRegisterTable[Review Type],"")="Initial Review")
)
/
SUMPRODUCT(
--(ReviewEntryTable[Review Area]=E14),
--(((LEFT(ReviewEntryTable[Result],1)="3")+
(LEFT(ReviewEntryTable[Result],1)="2")+
(LEFT(ReviewEntryTable[Result],1)="1"))&gt;0),
--(_xlfn.XLOOKUP(ReviewEntryTable[Review ID],ReviewRegisterTable[Review ID],ReviewRegisterTable[Review Type],"")="Initial Review")
),
0)</f>
        <v>0</v>
      </c>
    </row>
    <row r="15" spans="1:7">
      <c r="E15" s="37" t="s">
        <v>108</v>
      </c>
      <c r="F15" s="41" cm="1">
        <f t="array" ref="F15">IFERROR(
(
SUMPRODUCT(
--(ReviewEntryTable[Review Area]=E15),
--(_xlfn.XLOOKUP(ReviewEntryTable[Review ID],ReviewRegisterTable[Review ID],ReviewRegisterTable[Review Type],"")="Initial Review"),
--(LEFT(ReviewEntryTable[Result],1)="3")
)*3
+
SUMPRODUCT(
--(ReviewEntryTable[Review Area]=E15),
--(_xlfn.XLOOKUP(ReviewEntryTable[Review ID],ReviewRegisterTable[Review ID],ReviewRegisterTable[Review Type],"")="Initial Review"),
--(LEFT(ReviewEntryTable[Result],1)="2")
)*2
+
SUMPRODUCT(
--(ReviewEntryTable[Review Area]=E15),
--(_xlfn.XLOOKUP(ReviewEntryTable[Review ID],ReviewRegisterTable[Review ID],ReviewRegisterTable[Review Type],"")="Initial Review"),
--(LEFT(ReviewEntryTable[Result],1)="1")
)
)
/
SUMPRODUCT(
--(ReviewEntryTable[Review Area]=E15),
--(_xlfn.XLOOKUP(ReviewEntryTable[Review ID],ReviewRegisterTable[Review ID],ReviewRegisterTable[Review Type],"")="Initial Review"),
--(((LEFT(ReviewEntryTable[Result],1)="3")+
(LEFT(ReviewEntryTable[Result],1)="2")+
(LEFT(ReviewEntryTable[Result],1)="1"))&gt;0)
),
0)</f>
        <v>0</v>
      </c>
      <c r="G15" s="39" cm="1">
        <f t="array" ref="G15">IFERROR(
SUMPRODUCT(
--(ReviewEntryTable[Review Area]=E15),
--(LEFT(ReviewEntryTable[Result],1)="3"),
--(_xlfn.XLOOKUP(ReviewEntryTable[Review ID],ReviewRegisterTable[Review ID],ReviewRegisterTable[Review Type],"")="Initial Review")
)
/
SUMPRODUCT(
--(ReviewEntryTable[Review Area]=E15),
--(((LEFT(ReviewEntryTable[Result],1)="3")+
(LEFT(ReviewEntryTable[Result],1)="2")+
(LEFT(ReviewEntryTable[Result],1)="1"))&gt;0),
--(_xlfn.XLOOKUP(ReviewEntryTable[Review ID],ReviewRegisterTable[Review ID],ReviewRegisterTable[Review Type],"")="Initial Review")
),
0)</f>
        <v>0</v>
      </c>
    </row>
    <row r="16" spans="1:7">
      <c r="E16" s="37" t="s">
        <v>121</v>
      </c>
      <c r="F16" s="41" cm="1">
        <f t="array" ref="F16">IFERROR(
(
SUMPRODUCT(
--(ReviewEntryTable[Review Area]=E16),
--(_xlfn.XLOOKUP(ReviewEntryTable[Review ID],ReviewRegisterTable[Review ID],ReviewRegisterTable[Review Type],"")="Initial Review"),
--(LEFT(ReviewEntryTable[Result],1)="3")
)*3
+
SUMPRODUCT(
--(ReviewEntryTable[Review Area]=E16),
--(_xlfn.XLOOKUP(ReviewEntryTable[Review ID],ReviewRegisterTable[Review ID],ReviewRegisterTable[Review Type],"")="Initial Review"),
--(LEFT(ReviewEntryTable[Result],1)="2")
)*2
+
SUMPRODUCT(
--(ReviewEntryTable[Review Area]=E16),
--(_xlfn.XLOOKUP(ReviewEntryTable[Review ID],ReviewRegisterTable[Review ID],ReviewRegisterTable[Review Type],"")="Initial Review"),
--(LEFT(ReviewEntryTable[Result],1)="1")
)
)
/
SUMPRODUCT(
--(ReviewEntryTable[Review Area]=E16),
--(_xlfn.XLOOKUP(ReviewEntryTable[Review ID],ReviewRegisterTable[Review ID],ReviewRegisterTable[Review Type],"")="Initial Review"),
--(((LEFT(ReviewEntryTable[Result],1)="3")+
(LEFT(ReviewEntryTable[Result],1)="2")+
(LEFT(ReviewEntryTable[Result],1)="1"))&gt;0)
),
0)</f>
        <v>0</v>
      </c>
      <c r="G16" s="39" cm="1">
        <f t="array" ref="G16">IFERROR(
SUMPRODUCT(
--(ReviewEntryTable[Review Area]=E16),
--(LEFT(ReviewEntryTable[Result],1)="3"),
--(_xlfn.XLOOKUP(ReviewEntryTable[Review ID],ReviewRegisterTable[Review ID],ReviewRegisterTable[Review Type],"")="Initial Review")
)
/
SUMPRODUCT(
--(ReviewEntryTable[Review Area]=E16),
--(((LEFT(ReviewEntryTable[Result],1)="3")+
(LEFT(ReviewEntryTable[Result],1)="2")+
(LEFT(ReviewEntryTable[Result],1)="1"))&gt;0),
--(_xlfn.XLOOKUP(ReviewEntryTable[Review ID],ReviewRegisterTable[Review ID],ReviewRegisterTable[Review Type],"")="Initial Review")
),
0)</f>
        <v>0</v>
      </c>
    </row>
  </sheetData>
  <sheetProtection sheet="1" objects="1" scenarios="1"/>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249977111117893"/>
  </sheetPr>
  <dimension ref="A1:L9"/>
  <sheetViews>
    <sheetView zoomScaleNormal="100" workbookViewId="0">
      <selection activeCell="E20" sqref="E20"/>
    </sheetView>
  </sheetViews>
  <sheetFormatPr defaultColWidth="8.75" defaultRowHeight="15"/>
  <cols>
    <col min="1" max="1" width="8.75" style="1"/>
    <col min="2" max="2" width="11.5" style="1" bestFit="1" customWidth="1"/>
    <col min="3" max="3" width="15.125" style="1" bestFit="1" customWidth="1"/>
    <col min="4" max="4" width="11.75" style="1" bestFit="1" customWidth="1"/>
    <col min="5" max="7" width="31" style="1" customWidth="1"/>
    <col min="8" max="8" width="7.375" style="1" bestFit="1" customWidth="1"/>
    <col min="9" max="9" width="25.5" style="1" bestFit="1" customWidth="1"/>
    <col min="10" max="10" width="22.125" style="1" bestFit="1" customWidth="1"/>
    <col min="11" max="11" width="22.5" style="1" bestFit="1" customWidth="1"/>
    <col min="12" max="12" width="31" style="1" customWidth="1"/>
    <col min="13" max="16384" width="8.75" style="1"/>
  </cols>
  <sheetData>
    <row r="1" spans="1:12">
      <c r="A1" s="18" t="s">
        <v>504</v>
      </c>
      <c r="B1" s="18" t="s">
        <v>9</v>
      </c>
      <c r="C1" s="18" t="s">
        <v>11</v>
      </c>
      <c r="D1" s="18" t="s">
        <v>13</v>
      </c>
      <c r="E1" s="18" t="s">
        <v>30</v>
      </c>
      <c r="F1" s="18" t="s">
        <v>34</v>
      </c>
      <c r="G1" s="18" t="s">
        <v>35</v>
      </c>
      <c r="H1" s="18" t="s">
        <v>402</v>
      </c>
      <c r="I1" s="18" t="s">
        <v>40</v>
      </c>
      <c r="J1" s="18" t="s">
        <v>42</v>
      </c>
      <c r="K1" s="18" t="s">
        <v>523</v>
      </c>
      <c r="L1" s="18" t="s">
        <v>403</v>
      </c>
    </row>
    <row r="2" spans="1:12">
      <c r="A2" s="1" t="s">
        <v>505</v>
      </c>
      <c r="B2" s="1" t="s">
        <v>404</v>
      </c>
      <c r="C2" s="1" t="s">
        <v>20</v>
      </c>
      <c r="D2" s="1" t="s">
        <v>21</v>
      </c>
      <c r="E2" s="1" t="s">
        <v>44</v>
      </c>
      <c r="F2" s="1" t="s">
        <v>570</v>
      </c>
      <c r="G2" s="1" t="s">
        <v>405</v>
      </c>
      <c r="H2" s="1" t="s">
        <v>406</v>
      </c>
      <c r="I2" s="1" t="s">
        <v>609</v>
      </c>
      <c r="J2" s="1" t="s">
        <v>406</v>
      </c>
      <c r="K2" s="1" t="s">
        <v>407</v>
      </c>
      <c r="L2" s="1" t="s">
        <v>408</v>
      </c>
    </row>
    <row r="3" spans="1:12">
      <c r="A3" s="1" t="s">
        <v>506</v>
      </c>
      <c r="B3" s="1" t="s">
        <v>409</v>
      </c>
      <c r="C3" s="1" t="s">
        <v>410</v>
      </c>
      <c r="D3" s="1" t="s">
        <v>411</v>
      </c>
      <c r="E3" s="1" t="s">
        <v>57</v>
      </c>
      <c r="F3" s="1" t="s">
        <v>571</v>
      </c>
      <c r="G3" s="1" t="s">
        <v>412</v>
      </c>
      <c r="H3" s="1" t="s">
        <v>413</v>
      </c>
      <c r="I3" s="1" t="s">
        <v>397</v>
      </c>
      <c r="J3" s="1" t="s">
        <v>413</v>
      </c>
      <c r="K3" s="1" t="s">
        <v>414</v>
      </c>
      <c r="L3" s="1" t="s">
        <v>411</v>
      </c>
    </row>
    <row r="4" spans="1:12">
      <c r="A4" s="1" t="s">
        <v>507</v>
      </c>
      <c r="D4" s="1" t="s">
        <v>409</v>
      </c>
      <c r="E4" s="1" t="s">
        <v>70</v>
      </c>
      <c r="F4" s="1" t="s">
        <v>572</v>
      </c>
      <c r="G4" s="1" t="s">
        <v>415</v>
      </c>
      <c r="I4" s="1" t="s">
        <v>398</v>
      </c>
      <c r="J4" s="1" t="s">
        <v>416</v>
      </c>
      <c r="K4" s="1" t="s">
        <v>417</v>
      </c>
      <c r="L4" s="1" t="s">
        <v>418</v>
      </c>
    </row>
    <row r="5" spans="1:12">
      <c r="A5" s="1" t="s">
        <v>508</v>
      </c>
      <c r="E5" s="1" t="s">
        <v>82</v>
      </c>
      <c r="F5" s="1" t="s">
        <v>525</v>
      </c>
      <c r="G5" s="1" t="s">
        <v>419</v>
      </c>
      <c r="I5" s="1" t="s">
        <v>399</v>
      </c>
      <c r="K5" s="1" t="s">
        <v>420</v>
      </c>
      <c r="L5" s="1" t="s">
        <v>421</v>
      </c>
    </row>
    <row r="6" spans="1:12">
      <c r="A6" s="1" t="s">
        <v>509</v>
      </c>
      <c r="E6" s="1" t="s">
        <v>95</v>
      </c>
      <c r="F6" s="1" t="s">
        <v>573</v>
      </c>
      <c r="G6" s="1" t="s">
        <v>422</v>
      </c>
      <c r="I6" s="1" t="s">
        <v>400</v>
      </c>
      <c r="K6" s="1" t="s">
        <v>423</v>
      </c>
    </row>
    <row r="7" spans="1:12">
      <c r="E7" s="1" t="s">
        <v>108</v>
      </c>
      <c r="G7" s="1" t="s">
        <v>424</v>
      </c>
      <c r="I7" s="1" t="s">
        <v>401</v>
      </c>
      <c r="K7" s="1" t="s">
        <v>425</v>
      </c>
    </row>
    <row r="8" spans="1:12">
      <c r="E8" s="1" t="s">
        <v>121</v>
      </c>
      <c r="G8" s="1" t="s">
        <v>426</v>
      </c>
    </row>
    <row r="9" spans="1:12">
      <c r="G9" s="1" t="s">
        <v>427</v>
      </c>
    </row>
  </sheetData>
  <sheetProtection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3D0812858F9B4C88E915C5BAA31E69" ma:contentTypeVersion="18" ma:contentTypeDescription="Create a new document." ma:contentTypeScope="" ma:versionID="811d8b4e9d59bd6f840dae641783de5b">
  <xsd:schema xmlns:xsd="http://www.w3.org/2001/XMLSchema" xmlns:xs="http://www.w3.org/2001/XMLSchema" xmlns:p="http://schemas.microsoft.com/office/2006/metadata/properties" xmlns:ns2="d39ea6f9-4e78-4873-9ce4-ce947f4b4c61" xmlns:ns3="f5ecd282-16e3-46d4-95c7-03ec5fae49cf" targetNamespace="http://schemas.microsoft.com/office/2006/metadata/properties" ma:root="true" ma:fieldsID="31fc702f8118bec15438e3432032aa82" ns2:_="" ns3:_="">
    <xsd:import namespace="d39ea6f9-4e78-4873-9ce4-ce947f4b4c61"/>
    <xsd:import namespace="f5ecd282-16e3-46d4-95c7-03ec5fae49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ObjectDetectorVersions" minOccurs="0"/>
                <xsd:element ref="ns2:MediaServiceSearchProperties" minOccurs="0"/>
                <xsd:element ref="ns2:Panelists" minOccurs="0"/>
                <xsd:element ref="ns2:No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9ea6f9-4e78-4873-9ce4-ce947f4b4c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51d3239-c34a-49cf-8690-53edbfb872f1"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Panelists" ma:index="24" nillable="true" ma:displayName="Panelists" ma:format="Dropdown" ma:internalName="Panelists">
      <xsd:simpleType>
        <xsd:restriction base="dms:Text">
          <xsd:maxLength value="255"/>
        </xsd:restriction>
      </xsd:simpleType>
    </xsd:element>
    <xsd:element name="Note" ma:index="25" nillable="true" ma:displayName="Note" ma:format="Dropdown" ma:internalName="Not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5ecd282-16e3-46d4-95c7-03ec5fae49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9184f12-a4ee-4132-b9c6-8349fe4619e8}" ma:internalName="TaxCatchAll" ma:showField="CatchAllData" ma:web="f5ecd282-16e3-46d4-95c7-03ec5fae49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te xmlns="d39ea6f9-4e78-4873-9ce4-ce947f4b4c61" xsi:nil="true"/>
    <lcf76f155ced4ddcb4097134ff3c332f xmlns="d39ea6f9-4e78-4873-9ce4-ce947f4b4c61">
      <Terms xmlns="http://schemas.microsoft.com/office/infopath/2007/PartnerControls"/>
    </lcf76f155ced4ddcb4097134ff3c332f>
    <TaxCatchAll xmlns="f5ecd282-16e3-46d4-95c7-03ec5fae49cf" xsi:nil="true"/>
    <Panelists xmlns="d39ea6f9-4e78-4873-9ce4-ce947f4b4c61" xsi:nil="true"/>
  </documentManagement>
</p:properties>
</file>

<file path=customXml/itemProps1.xml><?xml version="1.0" encoding="utf-8"?>
<ds:datastoreItem xmlns:ds="http://schemas.openxmlformats.org/officeDocument/2006/customXml" ds:itemID="{F1FD35F0-B6B1-4697-8EEE-EB25508137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9ea6f9-4e78-4873-9ce4-ce947f4b4c61"/>
    <ds:schemaRef ds:uri="f5ecd282-16e3-46d4-95c7-03ec5fae49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662B10-27F2-40D7-AD6D-E50085E9C3E1}">
  <ds:schemaRefs>
    <ds:schemaRef ds:uri="http://schemas.microsoft.com/sharepoint/v3/contenttype/forms"/>
  </ds:schemaRefs>
</ds:datastoreItem>
</file>

<file path=customXml/itemProps3.xml><?xml version="1.0" encoding="utf-8"?>
<ds:datastoreItem xmlns:ds="http://schemas.openxmlformats.org/officeDocument/2006/customXml" ds:itemID="{B6AC1CA9-3C08-4CD3-ADF4-111F7E355A34}">
  <ds:schemaRefs>
    <ds:schemaRef ds:uri="http://purl.org/dc/dcmitype/"/>
    <ds:schemaRef ds:uri="http://schemas.microsoft.com/office/2006/metadata/properties"/>
    <ds:schemaRef ds:uri="d39ea6f9-4e78-4873-9ce4-ce947f4b4c61"/>
    <ds:schemaRef ds:uri="http://schemas.microsoft.com/office/infopath/2007/PartnerControls"/>
    <ds:schemaRef ds:uri="http://purl.org/dc/elements/1.1/"/>
    <ds:schemaRef ds:uri="http://www.w3.org/XML/1998/namespace"/>
    <ds:schemaRef ds:uri="http://schemas.microsoft.com/office/2006/documentManagement/types"/>
    <ds:schemaRef ds:uri="f5ecd282-16e3-46d4-95c7-03ec5fae49cf"/>
    <ds:schemaRef ds:uri="http://schemas.openxmlformats.org/package/2006/metadata/core-properties"/>
    <ds:schemaRef ds:uri="http://purl.org/dc/terms/"/>
  </ds:schemaRefs>
</ds:datastoreItem>
</file>

<file path=docMetadata/LabelInfo.xml><?xml version="1.0" encoding="utf-8"?>
<clbl:labelList xmlns:clbl="http://schemas.microsoft.com/office/2020/mipLabelMetadata">
  <clbl:label id="{8d777f57-89da-40b1-a74e-76d99c6a7b48}" enabled="1" method="Standard" siteId="{ccd1b2f8-be44-4e55-b47b-be5cffc00c3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Revisions</vt:lpstr>
      <vt:lpstr>Rev Log</vt:lpstr>
      <vt:lpstr>Overview</vt:lpstr>
      <vt:lpstr>Instructions</vt:lpstr>
      <vt:lpstr>Review Register</vt:lpstr>
      <vt:lpstr>Review Entry-Complete</vt:lpstr>
      <vt:lpstr>Review Entry</vt:lpstr>
      <vt:lpstr>Scoring Guide</vt:lpstr>
      <vt:lpstr>Source Matrix</vt:lpstr>
      <vt:lpstr>Actions</vt:lpstr>
      <vt:lpstr>KPI Summary</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Jacob Rochte</cp:lastModifiedBy>
  <dcterms:created xsi:type="dcterms:W3CDTF">2026-08-11T01:55:17Z</dcterms:created>
  <dcterms:modified xsi:type="dcterms:W3CDTF">2026-10-16T18:52:07Z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0x010100D43D0812858F9B4C88E915C5BAA31E69</vt:lpwstr>
  </property>
  <property fmtid="{D5CDD505-2E9C-101B-9397-08002B2CF9AE}" pid="3" name="MediaServiceImageTags">
    <vt:lpwstr/>
  </property>
</Properties>
</file>